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770" activeTab="2"/>
  </bookViews>
  <sheets>
    <sheet name="Clean Data" sheetId="1" r:id="rId1"/>
    <sheet name="Pivot Tables" sheetId="4" r:id="rId2"/>
    <sheet name="Dashboard" sheetId="3" r:id="rId3"/>
    <sheet name="Summary" sheetId="5" r:id="rId4"/>
  </sheets>
  <definedNames>
    <definedName name="Date">'Clean Data'!$A$1</definedName>
    <definedName name="Region">'Clean Data'!$B:$B</definedName>
    <definedName name="Slicer_Month">#N/A</definedName>
    <definedName name="Slicer_Product">#N/A</definedName>
    <definedName name="Slicer_Salespers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102" i="1" s="1"/>
  <c r="K2" i="1" s="1"/>
  <c r="G92" i="1"/>
  <c r="G93" i="1"/>
  <c r="G94" i="1"/>
  <c r="G95" i="1"/>
  <c r="G96" i="1"/>
  <c r="G97" i="1"/>
  <c r="G98" i="1"/>
  <c r="G99" i="1"/>
  <c r="G100" i="1"/>
  <c r="G101" i="1"/>
</calcChain>
</file>

<file path=xl/sharedStrings.xml><?xml version="1.0" encoding="utf-8"?>
<sst xmlns="http://schemas.openxmlformats.org/spreadsheetml/2006/main" count="346" uniqueCount="44">
  <si>
    <t>Date</t>
  </si>
  <si>
    <t>Region</t>
  </si>
  <si>
    <t>Salesperson</t>
  </si>
  <si>
    <t>Product</t>
  </si>
  <si>
    <t>Quantity</t>
  </si>
  <si>
    <t>Unit Price</t>
  </si>
  <si>
    <t>Total Sales</t>
  </si>
  <si>
    <t>North</t>
  </si>
  <si>
    <t>South</t>
  </si>
  <si>
    <t>East</t>
  </si>
  <si>
    <t>West</t>
  </si>
  <si>
    <t>Ali</t>
  </si>
  <si>
    <t>Ahmed</t>
  </si>
  <si>
    <t>Sara</t>
  </si>
  <si>
    <t>Ayesha</t>
  </si>
  <si>
    <t>Usman</t>
  </si>
  <si>
    <t>Bilal</t>
  </si>
  <si>
    <t>Fatima</t>
  </si>
  <si>
    <t>Hamza</t>
  </si>
  <si>
    <t>Laptop</t>
  </si>
  <si>
    <t>Mouse</t>
  </si>
  <si>
    <t>Keyboard</t>
  </si>
  <si>
    <t>Monitor</t>
  </si>
  <si>
    <t>Printer</t>
  </si>
  <si>
    <t>Month</t>
  </si>
  <si>
    <t>Year</t>
  </si>
  <si>
    <t>Increase</t>
  </si>
  <si>
    <t>New Unit Price</t>
  </si>
  <si>
    <t>Row Labels</t>
  </si>
  <si>
    <t>Grand Total</t>
  </si>
  <si>
    <t>Sum of Total Sales</t>
  </si>
  <si>
    <t>January</t>
  </si>
  <si>
    <t>Sales Data Analysis Summary</t>
  </si>
  <si>
    <t>1. Total Sales: 3,380,400</t>
  </si>
  <si>
    <t>2. South Region generated the highest total sales.</t>
  </si>
  <si>
    <t>3. West Region generated the lowest total sales.</t>
  </si>
  <si>
    <t>4. Printer was the highest-selling product.</t>
  </si>
  <si>
    <t>5. Ahmed was the top salesperson.</t>
  </si>
  <si>
    <t>6. Monthly sales trend was analyzed using Pivot Table and Line Chart.</t>
  </si>
  <si>
    <t>7. An interactive dashboard was created using Pivot Charts and Slicers.</t>
  </si>
  <si>
    <t>SALES DASHBOARD 2026</t>
  </si>
  <si>
    <t>February</t>
  </si>
  <si>
    <t>March</t>
  </si>
  <si>
    <t>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</si>
</sst>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Arial Black"/>
      <family val="2"/>
    </font>
    <font>
      <b/>
      <sz val="14"/>
      <color theme="1"/>
      <name val="Calibri"/>
      <family val="2"/>
      <scheme val="minor"/>
    </font>
    <font>
      <b/>
      <sz val="11"/>
      <color theme="1"/>
      <name val="Calibri"/>
      <family val="2"/>
      <scheme val="minor"/>
    </font>
    <font>
      <b/>
      <sz val="20"/>
      <color theme="9"/>
      <name val="Arial Black"/>
      <family val="2"/>
    </font>
    <font>
      <sz val="20"/>
      <color theme="1"/>
      <name val="Calibri"/>
      <family val="2"/>
      <scheme val="minor"/>
    </font>
  </fonts>
  <fills count="3">
    <fill>
      <patternFill patternType="none"/>
    </fill>
    <fill>
      <patternFill patternType="gray125"/>
    </fill>
    <fill>
      <patternFill patternType="solid">
        <fgColor theme="5" tint="0.59996337778862885"/>
        <bgColor indexed="64"/>
      </patternFill>
    </fill>
  </fills>
  <borders count="9">
    <border>
      <left/>
      <right/>
      <top/>
      <bottom/>
      <diagonal/>
    </border>
    <border>
      <left style="thin">
        <color rgb="FF00B050"/>
      </left>
      <right/>
      <top style="thin">
        <color rgb="FF00B050"/>
      </top>
      <bottom/>
      <diagonal/>
    </border>
    <border>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top/>
      <bottom style="thin">
        <color rgb="FF00B050"/>
      </bottom>
      <diagonal/>
    </border>
    <border>
      <left/>
      <right style="thin">
        <color rgb="FF00B050"/>
      </right>
      <top/>
      <bottom style="thin">
        <color rgb="FF00B050"/>
      </bottom>
      <diagonal/>
    </border>
  </borders>
  <cellStyleXfs count="1">
    <xf numFmtId="0" fontId="0" fillId="0" borderId="0"/>
  </cellStyleXfs>
  <cellXfs count="23">
    <xf numFmtId="0" fontId="0" fillId="0" borderId="0" xfId="0"/>
    <xf numFmtId="0" fontId="0" fillId="0" borderId="0" xfId="0" applyAlignment="1">
      <alignment vertical="center" wrapText="1"/>
    </xf>
    <xf numFmtId="0" fontId="1" fillId="0" borderId="0" xfId="0" applyFont="1"/>
    <xf numFmtId="0" fontId="1" fillId="0" borderId="0" xfId="0" applyFont="1" applyAlignment="1">
      <alignment vertical="center" wrapText="1"/>
    </xf>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14" fontId="0" fillId="0" borderId="0" xfId="0" applyNumberFormat="1"/>
    <xf numFmtId="0" fontId="3" fillId="0" borderId="0" xfId="0" applyFont="1"/>
    <xf numFmtId="0" fontId="0" fillId="0" borderId="0" xfId="0" applyBorder="1"/>
    <xf numFmtId="0" fontId="0" fillId="0" borderId="2" xfId="0" applyBorder="1"/>
    <xf numFmtId="0" fontId="0" fillId="0" borderId="3"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4" fillId="0" borderId="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xf>
    <xf numFmtId="0" fontId="5" fillId="0" borderId="0" xfId="0" applyFont="1" applyBorder="1" applyAlignment="1">
      <alignment horizontal="center"/>
    </xf>
  </cellXfs>
  <cellStyles count="1">
    <cellStyle name="Normal" xfId="0" builtinId="0"/>
  </cellStyles>
  <dxfs count="6">
    <dxf>
      <font>
        <b val="0"/>
        <i val="0"/>
        <strike val="0"/>
        <condense val="0"/>
        <extend val="0"/>
        <outline val="0"/>
        <shadow val="0"/>
        <u val="none"/>
        <vertAlign val="baseline"/>
        <sz val="11"/>
        <color theme="1"/>
        <name val="Arial Black"/>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Region</a:t>
            </a:r>
          </a:p>
          <a:p>
            <a:pPr>
              <a:defRPr/>
            </a:pPr>
            <a:endParaRPr lang="en-US"/>
          </a:p>
        </c:rich>
      </c:tx>
      <c:layout>
        <c:manualLayout>
          <c:xMode val="edge"/>
          <c:yMode val="edge"/>
          <c:x val="0.36895697579726011"/>
          <c:y val="0.1147903138260751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Tables'!$A$4:$A$9</c:f>
              <c:strCache>
                <c:ptCount val="5"/>
                <c:pt idx="0">
                  <c:v>Keyboard</c:v>
                </c:pt>
                <c:pt idx="1">
                  <c:v>Laptop</c:v>
                </c:pt>
                <c:pt idx="2">
                  <c:v>Monitor</c:v>
                </c:pt>
                <c:pt idx="3">
                  <c:v>Mouse</c:v>
                </c:pt>
                <c:pt idx="4">
                  <c:v>Printer</c:v>
                </c:pt>
              </c:strCache>
            </c:strRef>
          </c:cat>
          <c:val>
            <c:numRef>
              <c:f>'Pivot Tables'!$B$4:$B$9</c:f>
              <c:numCache>
                <c:formatCode>General</c:formatCode>
                <c:ptCount val="5"/>
                <c:pt idx="0">
                  <c:v>633300</c:v>
                </c:pt>
                <c:pt idx="1">
                  <c:v>575600</c:v>
                </c:pt>
                <c:pt idx="2">
                  <c:v>636600</c:v>
                </c:pt>
                <c:pt idx="3">
                  <c:v>736200</c:v>
                </c:pt>
                <c:pt idx="4">
                  <c:v>-2081700</c:v>
                </c:pt>
              </c:numCache>
            </c:numRef>
          </c:val>
          <c:extLst>
            <c:ext xmlns:c16="http://schemas.microsoft.com/office/drawing/2014/chart" uri="{C3380CC4-5D6E-409C-BE32-E72D297353CC}">
              <c16:uniqueId val="{00000000-67DA-4D32-8450-25561A8C6427}"/>
            </c:ext>
          </c:extLst>
        </c:ser>
        <c:dLbls>
          <c:showLegendKey val="0"/>
          <c:showVal val="0"/>
          <c:showCatName val="0"/>
          <c:showSerName val="0"/>
          <c:showPercent val="0"/>
          <c:showBubbleSize val="0"/>
        </c:dLbls>
        <c:gapWidth val="150"/>
        <c:shape val="box"/>
        <c:axId val="646585136"/>
        <c:axId val="646592208"/>
        <c:axId val="0"/>
      </c:bar3DChart>
      <c:catAx>
        <c:axId val="646585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92208"/>
        <c:crosses val="autoZero"/>
        <c:auto val="1"/>
        <c:lblAlgn val="ctr"/>
        <c:lblOffset val="100"/>
        <c:noMultiLvlLbl val="0"/>
      </c:catAx>
      <c:valAx>
        <c:axId val="64659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8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sales Trend</a:t>
            </a:r>
            <a:endParaRPr lang="en-US" sz="1600" b="1">
              <a:solidFill>
                <a:schemeClr val="tx1"/>
              </a:solidFill>
            </a:endParaRPr>
          </a:p>
        </c:rich>
      </c:tx>
      <c:layout>
        <c:manualLayout>
          <c:xMode val="edge"/>
          <c:yMode val="edge"/>
          <c:x val="0.31709147377327385"/>
          <c:y val="0.119176421624745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Tables'!$K$3</c:f>
              <c:strCache>
                <c:ptCount val="1"/>
                <c:pt idx="0">
                  <c:v>Total</c:v>
                </c:pt>
              </c:strCache>
            </c:strRef>
          </c:tx>
          <c:spPr>
            <a:ln w="28575" cap="rnd">
              <a:solidFill>
                <a:schemeClr val="accent1"/>
              </a:solidFill>
              <a:round/>
            </a:ln>
            <a:effectLst/>
          </c:spPr>
          <c:marker>
            <c:symbol val="none"/>
          </c:marker>
          <c:cat>
            <c:strRef>
              <c:f>'Pivot Tables'!$J$4:$J$8</c:f>
              <c:strCache>
                <c:ptCount val="4"/>
                <c:pt idx="0">
                  <c:v>January</c:v>
                </c:pt>
                <c:pt idx="1">
                  <c:v>February</c:v>
                </c:pt>
                <c:pt idx="2">
                  <c:v>March</c:v>
                </c:pt>
                <c:pt idx="3">
                  <c:v>April</c:v>
                </c:pt>
              </c:strCache>
            </c:strRef>
          </c:cat>
          <c:val>
            <c:numRef>
              <c:f>'Pivot Tables'!$K$4:$K$8</c:f>
              <c:numCache>
                <c:formatCode>General</c:formatCode>
                <c:ptCount val="4"/>
                <c:pt idx="0">
                  <c:v>990700</c:v>
                </c:pt>
                <c:pt idx="1">
                  <c:v>998300</c:v>
                </c:pt>
                <c:pt idx="2">
                  <c:v>-1846000</c:v>
                </c:pt>
                <c:pt idx="3">
                  <c:v>357000</c:v>
                </c:pt>
              </c:numCache>
            </c:numRef>
          </c:val>
          <c:smooth val="0"/>
          <c:extLst>
            <c:ext xmlns:c16="http://schemas.microsoft.com/office/drawing/2014/chart" uri="{C3380CC4-5D6E-409C-BE32-E72D297353CC}">
              <c16:uniqueId val="{00000000-89F1-4F94-8DF8-CE2DA0937315}"/>
            </c:ext>
          </c:extLst>
        </c:ser>
        <c:dLbls>
          <c:showLegendKey val="0"/>
          <c:showVal val="0"/>
          <c:showCatName val="0"/>
          <c:showSerName val="0"/>
          <c:showPercent val="0"/>
          <c:showBubbleSize val="0"/>
        </c:dLbls>
        <c:smooth val="0"/>
        <c:axId val="644951040"/>
        <c:axId val="644944800"/>
      </c:lineChart>
      <c:catAx>
        <c:axId val="6449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44800"/>
        <c:crosses val="autoZero"/>
        <c:auto val="1"/>
        <c:lblAlgn val="ctr"/>
        <c:lblOffset val="100"/>
        <c:noMultiLvlLbl val="0"/>
      </c:catAx>
      <c:valAx>
        <c:axId val="6449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51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Tables!PivotTable1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by product</a:t>
            </a:r>
          </a:p>
        </c:rich>
      </c:tx>
      <c:layout>
        <c:manualLayout>
          <c:xMode val="edge"/>
          <c:yMode val="edge"/>
          <c:x val="0.26357389104027301"/>
          <c:y val="0.128795363821340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48-4B7E-A1B0-DC6447D61F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48-4B7E-A1B0-DC6447D61F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48-4B7E-A1B0-DC6447D61F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48-4B7E-A1B0-DC6447D61F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49-4DA3-BA06-88EF1570C677}"/>
              </c:ext>
            </c:extLst>
          </c:dPt>
          <c:cat>
            <c:strRef>
              <c:f>'Pivot Tables'!$A$4:$A$9</c:f>
              <c:strCache>
                <c:ptCount val="5"/>
                <c:pt idx="0">
                  <c:v>Keyboard</c:v>
                </c:pt>
                <c:pt idx="1">
                  <c:v>Laptop</c:v>
                </c:pt>
                <c:pt idx="2">
                  <c:v>Monitor</c:v>
                </c:pt>
                <c:pt idx="3">
                  <c:v>Mouse</c:v>
                </c:pt>
                <c:pt idx="4">
                  <c:v>Printer</c:v>
                </c:pt>
              </c:strCache>
            </c:strRef>
          </c:cat>
          <c:val>
            <c:numRef>
              <c:f>'Pivot Tables'!$B$4:$B$9</c:f>
              <c:numCache>
                <c:formatCode>General</c:formatCode>
                <c:ptCount val="5"/>
                <c:pt idx="0">
                  <c:v>633300</c:v>
                </c:pt>
                <c:pt idx="1">
                  <c:v>575600</c:v>
                </c:pt>
                <c:pt idx="2">
                  <c:v>636600</c:v>
                </c:pt>
                <c:pt idx="3">
                  <c:v>736200</c:v>
                </c:pt>
                <c:pt idx="4">
                  <c:v>-2081700</c:v>
                </c:pt>
              </c:numCache>
            </c:numRef>
          </c:val>
          <c:extLst>
            <c:ext xmlns:c16="http://schemas.microsoft.com/office/drawing/2014/chart" uri="{C3380CC4-5D6E-409C-BE32-E72D297353CC}">
              <c16:uniqueId val="{00000008-FC48-4B7E-A1B0-DC6447D61FE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Analysis.xlsx]Pivot Tables!PivotTable2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Performing Salespersons</a:t>
            </a:r>
            <a:endParaRPr lang="en-US" sz="1600" b="1">
              <a:solidFill>
                <a:schemeClr val="tx1"/>
              </a:solidFill>
            </a:endParaRPr>
          </a:p>
        </c:rich>
      </c:tx>
      <c:layout>
        <c:manualLayout>
          <c:xMode val="edge"/>
          <c:yMode val="edge"/>
          <c:x val="0.25832686332383709"/>
          <c:y val="0.126155639993264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Tables'!$B$12</c:f>
              <c:strCache>
                <c:ptCount val="1"/>
                <c:pt idx="0">
                  <c:v>Total</c:v>
                </c:pt>
              </c:strCache>
            </c:strRef>
          </c:tx>
          <c:spPr>
            <a:solidFill>
              <a:schemeClr val="accent1"/>
            </a:solidFill>
            <a:ln>
              <a:noFill/>
            </a:ln>
            <a:effectLst/>
            <a:sp3d/>
          </c:spPr>
          <c:invertIfNegative val="0"/>
          <c:cat>
            <c:strRef>
              <c:f>'Pivot Tables'!$A$13:$A$21</c:f>
              <c:strCache>
                <c:ptCount val="8"/>
                <c:pt idx="0">
                  <c:v>Fatima</c:v>
                </c:pt>
                <c:pt idx="1">
                  <c:v>Ali</c:v>
                </c:pt>
                <c:pt idx="2">
                  <c:v>Sara</c:v>
                </c:pt>
                <c:pt idx="3">
                  <c:v>Ayesha</c:v>
                </c:pt>
                <c:pt idx="4">
                  <c:v>Usman</c:v>
                </c:pt>
                <c:pt idx="5">
                  <c:v>Bilal</c:v>
                </c:pt>
                <c:pt idx="6">
                  <c:v>Hamza</c:v>
                </c:pt>
                <c:pt idx="7">
                  <c:v>Ahmed</c:v>
                </c:pt>
              </c:strCache>
            </c:strRef>
          </c:cat>
          <c:val>
            <c:numRef>
              <c:f>'Pivot Tables'!$B$13:$B$21</c:f>
              <c:numCache>
                <c:formatCode>General</c:formatCode>
                <c:ptCount val="8"/>
                <c:pt idx="0">
                  <c:v>482800</c:v>
                </c:pt>
                <c:pt idx="1">
                  <c:v>446100</c:v>
                </c:pt>
                <c:pt idx="2">
                  <c:v>409800</c:v>
                </c:pt>
                <c:pt idx="3">
                  <c:v>409100</c:v>
                </c:pt>
                <c:pt idx="4">
                  <c:v>371000</c:v>
                </c:pt>
                <c:pt idx="5">
                  <c:v>350300</c:v>
                </c:pt>
                <c:pt idx="6">
                  <c:v>323100</c:v>
                </c:pt>
                <c:pt idx="7">
                  <c:v>-2292200</c:v>
                </c:pt>
              </c:numCache>
            </c:numRef>
          </c:val>
          <c:extLst>
            <c:ext xmlns:c16="http://schemas.microsoft.com/office/drawing/2014/chart" uri="{C3380CC4-5D6E-409C-BE32-E72D297353CC}">
              <c16:uniqueId val="{00000000-7126-4E5B-97FE-E5F00A716EA2}"/>
            </c:ext>
          </c:extLst>
        </c:ser>
        <c:dLbls>
          <c:showLegendKey val="0"/>
          <c:showVal val="0"/>
          <c:showCatName val="0"/>
          <c:showSerName val="0"/>
          <c:showPercent val="0"/>
          <c:showBubbleSize val="0"/>
        </c:dLbls>
        <c:gapWidth val="150"/>
        <c:shape val="box"/>
        <c:axId val="1368947007"/>
        <c:axId val="1368951999"/>
        <c:axId val="0"/>
      </c:bar3DChart>
      <c:catAx>
        <c:axId val="136894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51999"/>
        <c:crosses val="autoZero"/>
        <c:auto val="1"/>
        <c:lblAlgn val="ctr"/>
        <c:lblOffset val="100"/>
        <c:noMultiLvlLbl val="0"/>
      </c:catAx>
      <c:valAx>
        <c:axId val="136895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470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217025</xdr:colOff>
      <xdr:row>25</xdr:row>
      <xdr:rowOff>168797</xdr:rowOff>
    </xdr:from>
    <xdr:to>
      <xdr:col>7</xdr:col>
      <xdr:colOff>521825</xdr:colOff>
      <xdr:row>40</xdr:row>
      <xdr:rowOff>52085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253197</xdr:colOff>
      <xdr:row>10</xdr:row>
      <xdr:rowOff>72343</xdr:rowOff>
    </xdr:from>
    <xdr:to>
      <xdr:col>15</xdr:col>
      <xdr:colOff>557997</xdr:colOff>
      <xdr:row>24</xdr:row>
      <xdr:rowOff>148543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241140</xdr:colOff>
      <xdr:row>10</xdr:row>
      <xdr:rowOff>42700</xdr:rowOff>
    </xdr:from>
    <xdr:to>
      <xdr:col>7</xdr:col>
      <xdr:colOff>545940</xdr:colOff>
      <xdr:row>24</xdr:row>
      <xdr:rowOff>118900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115821</xdr:colOff>
      <xdr:row>0</xdr:row>
      <xdr:rowOff>29046</xdr:rowOff>
    </xdr:from>
    <xdr:to>
      <xdr:col>18</xdr:col>
      <xdr:colOff>91706</xdr:colOff>
      <xdr:row>7</xdr:row>
      <xdr:rowOff>41104</xdr:rowOff>
    </xdr:to>
    <mc:AlternateContent xmlns:mc="http://schemas.openxmlformats.org/markup-compatibility/2006" xmlns:a14="http://schemas.microsoft.com/office/drawing/2010/main">
      <mc:Choice Requires="a14">
        <xdr:graphicFrame macro="">
          <xdr:nvGraphicFramePr>
            <xdr:cNvPr id="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360674" y="29046"/>
              <a:ext cx="1824856" cy="1319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253196</xdr:colOff>
      <xdr:row>0</xdr:row>
      <xdr:rowOff>36171</xdr:rowOff>
    </xdr:from>
    <xdr:to>
      <xdr:col>24</xdr:col>
      <xdr:colOff>237280</xdr:colOff>
      <xdr:row>10</xdr:row>
      <xdr:rowOff>72342</xdr:rowOff>
    </xdr:to>
    <mc:AlternateContent xmlns:mc="http://schemas.openxmlformats.org/markup-compatibility/2006" xmlns:a14="http://schemas.microsoft.com/office/drawing/2010/main">
      <mc:Choice Requires="a14">
        <xdr:graphicFrame macro="">
          <xdr:nvGraphicFramePr>
            <xdr:cNvPr id="11"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3195990" y="36171"/>
              <a:ext cx="1833055" cy="1903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470221</xdr:colOff>
      <xdr:row>3</xdr:row>
      <xdr:rowOff>84399</xdr:rowOff>
    </xdr:from>
    <xdr:to>
      <xdr:col>3</xdr:col>
      <xdr:colOff>217025</xdr:colOff>
      <xdr:row>8</xdr:row>
      <xdr:rowOff>36171</xdr:rowOff>
    </xdr:to>
    <xdr:sp macro="" textlink="">
      <xdr:nvSpPr>
        <xdr:cNvPr id="4" name="Rectangle 3"/>
        <xdr:cNvSpPr/>
      </xdr:nvSpPr>
      <xdr:spPr>
        <a:xfrm>
          <a:off x="470221" y="663133"/>
          <a:ext cx="1591519" cy="9163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latin typeface="+mn-lt"/>
            </a:rPr>
            <a:t>TOTAL SALES 500000</a:t>
          </a:r>
        </a:p>
      </xdr:txBody>
    </xdr:sp>
    <xdr:clientData/>
  </xdr:twoCellAnchor>
  <xdr:twoCellAnchor>
    <xdr:from>
      <xdr:col>3</xdr:col>
      <xdr:colOff>482277</xdr:colOff>
      <xdr:row>3</xdr:row>
      <xdr:rowOff>84400</xdr:rowOff>
    </xdr:from>
    <xdr:to>
      <xdr:col>6</xdr:col>
      <xdr:colOff>554621</xdr:colOff>
      <xdr:row>8</xdr:row>
      <xdr:rowOff>0</xdr:rowOff>
    </xdr:to>
    <xdr:sp macro="" textlink="">
      <xdr:nvSpPr>
        <xdr:cNvPr id="13" name="Rectangle 12"/>
        <xdr:cNvSpPr/>
      </xdr:nvSpPr>
      <xdr:spPr>
        <a:xfrm>
          <a:off x="2326992" y="663134"/>
          <a:ext cx="1917059" cy="8801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latin typeface="+mn-lt"/>
            </a:rPr>
            <a:t>TOTAL QUANTITY 500</a:t>
          </a:r>
        </a:p>
      </xdr:txBody>
    </xdr:sp>
    <xdr:clientData/>
  </xdr:twoCellAnchor>
  <xdr:twoCellAnchor>
    <xdr:from>
      <xdr:col>7</xdr:col>
      <xdr:colOff>168798</xdr:colOff>
      <xdr:row>3</xdr:row>
      <xdr:rowOff>60285</xdr:rowOff>
    </xdr:from>
    <xdr:to>
      <xdr:col>9</xdr:col>
      <xdr:colOff>530506</xdr:colOff>
      <xdr:row>8</xdr:row>
      <xdr:rowOff>12057</xdr:rowOff>
    </xdr:to>
    <xdr:sp macro="" textlink="">
      <xdr:nvSpPr>
        <xdr:cNvPr id="14" name="Rectangle 13"/>
        <xdr:cNvSpPr/>
      </xdr:nvSpPr>
      <xdr:spPr>
        <a:xfrm>
          <a:off x="4473133" y="639019"/>
          <a:ext cx="1591519" cy="9163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latin typeface="+mn-lt"/>
            </a:rPr>
            <a:t>TOTAL ORDERS</a:t>
          </a:r>
          <a:r>
            <a:rPr lang="en-US" sz="2000" b="1" baseline="0">
              <a:solidFill>
                <a:sysClr val="windowText" lastClr="000000"/>
              </a:solidFill>
              <a:latin typeface="+mn-lt"/>
            </a:rPr>
            <a:t> 100</a:t>
          </a:r>
          <a:endParaRPr lang="en-US" sz="2000" b="1">
            <a:solidFill>
              <a:sysClr val="windowText" lastClr="000000"/>
            </a:solidFill>
            <a:latin typeface="+mn-lt"/>
          </a:endParaRPr>
        </a:p>
      </xdr:txBody>
    </xdr:sp>
    <xdr:clientData/>
  </xdr:twoCellAnchor>
  <xdr:twoCellAnchor>
    <xdr:from>
      <xdr:col>8</xdr:col>
      <xdr:colOff>188252</xdr:colOff>
      <xdr:row>25</xdr:row>
      <xdr:rowOff>180580</xdr:rowOff>
    </xdr:from>
    <xdr:to>
      <xdr:col>15</xdr:col>
      <xdr:colOff>455917</xdr:colOff>
      <xdr:row>40</xdr:row>
      <xdr:rowOff>28191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204968</xdr:colOff>
      <xdr:row>0</xdr:row>
      <xdr:rowOff>48228</xdr:rowOff>
    </xdr:from>
    <xdr:to>
      <xdr:col>21</xdr:col>
      <xdr:colOff>189053</xdr:colOff>
      <xdr:row>8</xdr:row>
      <xdr:rowOff>120570</xdr:rowOff>
    </xdr:to>
    <mc:AlternateContent xmlns:mc="http://schemas.openxmlformats.org/markup-compatibility/2006" xmlns:a14="http://schemas.microsoft.com/office/drawing/2010/main">
      <mc:Choice Requires="a14">
        <xdr:graphicFrame macro="">
          <xdr:nvGraphicFramePr>
            <xdr:cNvPr id="1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298792" y="48228"/>
              <a:ext cx="1833055" cy="156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37.449337731479" createdVersion="6" refreshedVersion="6" minRefreshableVersion="3" recordCount="100">
  <cacheSource type="worksheet">
    <worksheetSource ref="A1:I101" sheet="Clean Data"/>
  </cacheSource>
  <cacheFields count="9">
    <cacheField name="Date" numFmtId="14">
      <sharedItems containsSemiMixedTypes="0" containsNonDate="0" containsDate="1" containsString="0" minDate="2026-01-01T00:00:00" maxDate="2026-04-11T00:00:00"/>
    </cacheField>
    <cacheField name="Region" numFmtId="0">
      <sharedItems count="4">
        <s v="North"/>
        <s v="South"/>
        <s v="East"/>
        <s v="West"/>
      </sharedItems>
    </cacheField>
    <cacheField name="Salesperson" numFmtId="0">
      <sharedItems count="8">
        <s v="Ali"/>
        <s v="Ahmed"/>
        <s v="Sara"/>
        <s v="Ayesha"/>
        <s v="Usman"/>
        <s v="Bilal"/>
        <s v="Fatima"/>
        <s v="Hamza"/>
      </sharedItems>
    </cacheField>
    <cacheField name="Product" numFmtId="0">
      <sharedItems containsBlank="1" count="6">
        <s v="Laptop"/>
        <s v="Mouse"/>
        <s v="Keyboard"/>
        <s v="Monitor"/>
        <s v="Printer"/>
        <m u="1"/>
      </sharedItems>
    </cacheField>
    <cacheField name="Quantity" numFmtId="0">
      <sharedItems containsSemiMixedTypes="0" containsString="0" containsNumber="1" containsInteger="1" minValue="3" maxValue="20"/>
    </cacheField>
    <cacheField name="Unit Price" numFmtId="0">
      <sharedItems containsSemiMixedTypes="0" containsString="0" containsNumber="1" containsInteger="1" minValue="-354850" maxValue="10000"/>
    </cacheField>
    <cacheField name="Total Sales" numFmtId="0">
      <sharedItems containsSemiMixedTypes="0" containsString="0" containsNumber="1" containsInteger="1" minValue="-2838800" maxValue="104000" count="79">
        <n v="50000"/>
        <n v="20000"/>
        <n v="21600"/>
        <n v="9600"/>
        <n v="15400"/>
        <n v="25500"/>
        <n v="16800"/>
        <n v="31500"/>
        <n v="49500"/>
        <n v="6400"/>
        <n v="39000"/>
        <n v="19200"/>
        <n v="9500"/>
        <n v="83200"/>
        <n v="26000"/>
        <n v="14700"/>
        <n v="46200"/>
        <n v="36000"/>
        <n v="57600"/>
        <n v="8400"/>
        <n v="52200"/>
        <n v="39600"/>
        <n v="46000"/>
        <n v="14400"/>
        <n v="35100"/>
        <n v="23800"/>
        <n v="69000"/>
        <n v="18000"/>
        <n v="31000"/>
        <n v="9000"/>
        <n v="42500"/>
        <n v="45600"/>
        <n v="33600"/>
        <n v="14000"/>
        <n v="55000"/>
        <n v="35200"/>
        <n v="13300"/>
        <n v="45000"/>
        <n v="28800"/>
        <n v="15600"/>
        <n v="48000"/>
        <n v="16200"/>
        <n v="104000"/>
        <n v="12000"/>
        <n v="40600"/>
        <n v="11900"/>
        <n v="52800"/>
        <n v="28600"/>
        <n v="30400"/>
        <n v="67500"/>
        <n v="37200"/>
        <n v="13500"/>
        <n v="45900"/>
        <n v="21000"/>
        <n v="25200"/>
        <n v="37400"/>
        <n v="40800"/>
        <n v="36800"/>
        <n v="28000"/>
        <n v="20800"/>
        <n v="54000"/>
        <n v="27600"/>
        <n v="28500"/>
        <n v="22500"/>
        <n v="42000"/>
        <n v="10500"/>
        <n v="44800"/>
        <n v="13600"/>
        <n v="49300"/>
        <n v="72000"/>
        <n v="57000"/>
        <n v="-2838800"/>
        <n v="40000"/>
        <n v="36300"/>
        <n v="7500"/>
        <n v="37800"/>
        <n v="44200"/>
        <n v="81600"/>
        <n v="20700"/>
      </sharedItems>
    </cacheField>
    <cacheField name="Month" numFmtId="0">
      <sharedItems count="4">
        <s v="January"/>
        <s v="February"/>
        <s v="March"/>
        <s v="April"/>
      </sharedItems>
    </cacheField>
    <cacheField name="Year" numFmtId="0">
      <sharedItems containsSemiMixedTypes="0" containsString="0" containsNumber="1" containsInteger="1" minValue="2026" maxValue="202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d v="2026-01-01T00:00:00"/>
    <x v="0"/>
    <x v="0"/>
    <x v="0"/>
    <n v="5"/>
    <n v="10000"/>
    <x v="0"/>
    <x v="0"/>
    <n v="2026"/>
  </r>
  <r>
    <d v="2026-01-02T00:00:00"/>
    <x v="1"/>
    <x v="1"/>
    <x v="1"/>
    <n v="8"/>
    <n v="2500"/>
    <x v="1"/>
    <x v="0"/>
    <n v="2026"/>
  </r>
  <r>
    <d v="2026-01-03T00:00:00"/>
    <x v="2"/>
    <x v="2"/>
    <x v="2"/>
    <n v="12"/>
    <n v="1800"/>
    <x v="2"/>
    <x v="0"/>
    <n v="2026"/>
  </r>
  <r>
    <d v="2026-01-04T00:00:00"/>
    <x v="3"/>
    <x v="3"/>
    <x v="3"/>
    <n v="3"/>
    <n v="3200"/>
    <x v="3"/>
    <x v="0"/>
    <n v="2026"/>
  </r>
  <r>
    <d v="2026-01-05T00:00:00"/>
    <x v="0"/>
    <x v="4"/>
    <x v="4"/>
    <n v="10"/>
    <n v="5000"/>
    <x v="0"/>
    <x v="0"/>
    <n v="2026"/>
  </r>
  <r>
    <d v="2026-01-06T00:00:00"/>
    <x v="1"/>
    <x v="5"/>
    <x v="0"/>
    <n v="7"/>
    <n v="2200"/>
    <x v="4"/>
    <x v="0"/>
    <n v="2026"/>
  </r>
  <r>
    <d v="2026-01-07T00:00:00"/>
    <x v="2"/>
    <x v="6"/>
    <x v="1"/>
    <n v="15"/>
    <n v="1700"/>
    <x v="5"/>
    <x v="0"/>
    <n v="2026"/>
  </r>
  <r>
    <d v="2026-01-08T00:00:00"/>
    <x v="3"/>
    <x v="7"/>
    <x v="2"/>
    <n v="6"/>
    <n v="2800"/>
    <x v="6"/>
    <x v="0"/>
    <n v="2026"/>
  </r>
  <r>
    <d v="2026-01-09T00:00:00"/>
    <x v="0"/>
    <x v="0"/>
    <x v="3"/>
    <n v="9"/>
    <n v="3500"/>
    <x v="7"/>
    <x v="0"/>
    <n v="2026"/>
  </r>
  <r>
    <d v="2026-01-10T00:00:00"/>
    <x v="1"/>
    <x v="1"/>
    <x v="4"/>
    <n v="11"/>
    <n v="4500"/>
    <x v="8"/>
    <x v="0"/>
    <n v="2026"/>
  </r>
  <r>
    <d v="2026-01-11T00:00:00"/>
    <x v="2"/>
    <x v="2"/>
    <x v="0"/>
    <n v="4"/>
    <n v="1600"/>
    <x v="9"/>
    <x v="0"/>
    <n v="2026"/>
  </r>
  <r>
    <d v="2026-01-12T00:00:00"/>
    <x v="3"/>
    <x v="3"/>
    <x v="1"/>
    <n v="13"/>
    <n v="3000"/>
    <x v="10"/>
    <x v="0"/>
    <n v="2026"/>
  </r>
  <r>
    <d v="2026-01-13T00:00:00"/>
    <x v="0"/>
    <x v="4"/>
    <x v="2"/>
    <n v="8"/>
    <n v="2400"/>
    <x v="11"/>
    <x v="0"/>
    <n v="2026"/>
  </r>
  <r>
    <d v="2026-01-14T00:00:00"/>
    <x v="1"/>
    <x v="5"/>
    <x v="3"/>
    <n v="5"/>
    <n v="1900"/>
    <x v="12"/>
    <x v="0"/>
    <n v="2026"/>
  </r>
  <r>
    <d v="2026-01-15T00:00:00"/>
    <x v="2"/>
    <x v="6"/>
    <x v="4"/>
    <n v="16"/>
    <n v="5200"/>
    <x v="13"/>
    <x v="0"/>
    <n v="2026"/>
  </r>
  <r>
    <d v="2026-01-16T00:00:00"/>
    <x v="3"/>
    <x v="7"/>
    <x v="0"/>
    <n v="10"/>
    <n v="2600"/>
    <x v="14"/>
    <x v="0"/>
    <n v="2026"/>
  </r>
  <r>
    <d v="2026-01-17T00:00:00"/>
    <x v="0"/>
    <x v="0"/>
    <x v="1"/>
    <n v="7"/>
    <n v="2100"/>
    <x v="15"/>
    <x v="0"/>
    <n v="2026"/>
  </r>
  <r>
    <d v="2026-01-18T00:00:00"/>
    <x v="1"/>
    <x v="1"/>
    <x v="2"/>
    <n v="14"/>
    <n v="3300"/>
    <x v="16"/>
    <x v="0"/>
    <n v="2026"/>
  </r>
  <r>
    <d v="2026-01-19T00:00:00"/>
    <x v="2"/>
    <x v="2"/>
    <x v="3"/>
    <n v="9"/>
    <n v="4000"/>
    <x v="17"/>
    <x v="0"/>
    <n v="2026"/>
  </r>
  <r>
    <d v="2026-01-20T00:00:00"/>
    <x v="3"/>
    <x v="3"/>
    <x v="4"/>
    <n v="12"/>
    <n v="4800"/>
    <x v="18"/>
    <x v="0"/>
    <n v="2026"/>
  </r>
  <r>
    <d v="2026-01-21T00:00:00"/>
    <x v="0"/>
    <x v="4"/>
    <x v="0"/>
    <n v="6"/>
    <n v="1400"/>
    <x v="19"/>
    <x v="0"/>
    <n v="2026"/>
  </r>
  <r>
    <d v="2026-01-22T00:00:00"/>
    <x v="1"/>
    <x v="5"/>
    <x v="1"/>
    <n v="18"/>
    <n v="2900"/>
    <x v="20"/>
    <x v="0"/>
    <n v="2026"/>
  </r>
  <r>
    <d v="2026-01-23T00:00:00"/>
    <x v="2"/>
    <x v="6"/>
    <x v="2"/>
    <n v="11"/>
    <n v="3600"/>
    <x v="21"/>
    <x v="0"/>
    <n v="2026"/>
  </r>
  <r>
    <d v="2026-01-24T00:00:00"/>
    <x v="3"/>
    <x v="7"/>
    <x v="3"/>
    <n v="5"/>
    <n v="5100"/>
    <x v="5"/>
    <x v="0"/>
    <n v="2026"/>
  </r>
  <r>
    <d v="2026-01-25T00:00:00"/>
    <x v="0"/>
    <x v="0"/>
    <x v="4"/>
    <n v="20"/>
    <n v="2300"/>
    <x v="22"/>
    <x v="0"/>
    <n v="2026"/>
  </r>
  <r>
    <d v="2026-01-26T00:00:00"/>
    <x v="1"/>
    <x v="1"/>
    <x v="0"/>
    <n v="8"/>
    <n v="1800"/>
    <x v="23"/>
    <x v="0"/>
    <n v="2026"/>
  </r>
  <r>
    <d v="2026-01-27T00:00:00"/>
    <x v="2"/>
    <x v="2"/>
    <x v="1"/>
    <n v="13"/>
    <n v="2700"/>
    <x v="24"/>
    <x v="0"/>
    <n v="2026"/>
  </r>
  <r>
    <d v="2026-01-28T00:00:00"/>
    <x v="3"/>
    <x v="3"/>
    <x v="2"/>
    <n v="7"/>
    <n v="3400"/>
    <x v="25"/>
    <x v="0"/>
    <n v="2026"/>
  </r>
  <r>
    <d v="2026-01-29T00:00:00"/>
    <x v="0"/>
    <x v="4"/>
    <x v="3"/>
    <n v="15"/>
    <n v="4600"/>
    <x v="26"/>
    <x v="0"/>
    <n v="2026"/>
  </r>
  <r>
    <d v="2026-01-30T00:00:00"/>
    <x v="1"/>
    <x v="5"/>
    <x v="4"/>
    <n v="9"/>
    <n v="2000"/>
    <x v="27"/>
    <x v="0"/>
    <n v="2026"/>
  </r>
  <r>
    <d v="2026-01-31T00:00:00"/>
    <x v="2"/>
    <x v="6"/>
    <x v="0"/>
    <n v="10"/>
    <n v="3100"/>
    <x v="28"/>
    <x v="0"/>
    <n v="2026"/>
  </r>
  <r>
    <d v="2026-02-01T00:00:00"/>
    <x v="3"/>
    <x v="7"/>
    <x v="1"/>
    <n v="6"/>
    <n v="1500"/>
    <x v="29"/>
    <x v="1"/>
    <n v="2026"/>
  </r>
  <r>
    <d v="2026-02-02T00:00:00"/>
    <x v="0"/>
    <x v="0"/>
    <x v="2"/>
    <n v="17"/>
    <n v="2500"/>
    <x v="30"/>
    <x v="1"/>
    <n v="2026"/>
  </r>
  <r>
    <d v="2026-02-03T00:00:00"/>
    <x v="1"/>
    <x v="1"/>
    <x v="3"/>
    <n v="12"/>
    <n v="3800"/>
    <x v="31"/>
    <x v="1"/>
    <n v="2026"/>
  </r>
  <r>
    <d v="2026-02-04T00:00:00"/>
    <x v="2"/>
    <x v="2"/>
    <x v="4"/>
    <n v="8"/>
    <n v="4200"/>
    <x v="32"/>
    <x v="1"/>
    <n v="2026"/>
  </r>
  <r>
    <d v="2026-02-05T00:00:00"/>
    <x v="3"/>
    <x v="3"/>
    <x v="0"/>
    <n v="14"/>
    <n v="1700"/>
    <x v="25"/>
    <x v="1"/>
    <n v="2026"/>
  </r>
  <r>
    <d v="2026-02-06T00:00:00"/>
    <x v="0"/>
    <x v="4"/>
    <x v="1"/>
    <n v="5"/>
    <n v="2800"/>
    <x v="33"/>
    <x v="1"/>
    <n v="2026"/>
  </r>
  <r>
    <d v="2026-02-07T00:00:00"/>
    <x v="1"/>
    <x v="5"/>
    <x v="2"/>
    <n v="11"/>
    <n v="5000"/>
    <x v="34"/>
    <x v="1"/>
    <n v="2026"/>
  </r>
  <r>
    <d v="2026-02-08T00:00:00"/>
    <x v="2"/>
    <x v="6"/>
    <x v="3"/>
    <n v="16"/>
    <n v="2200"/>
    <x v="35"/>
    <x v="1"/>
    <n v="2026"/>
  </r>
  <r>
    <d v="2026-02-09T00:00:00"/>
    <x v="3"/>
    <x v="7"/>
    <x v="4"/>
    <n v="9"/>
    <n v="3500"/>
    <x v="7"/>
    <x v="1"/>
    <n v="2026"/>
  </r>
  <r>
    <d v="2026-02-10T00:00:00"/>
    <x v="0"/>
    <x v="0"/>
    <x v="0"/>
    <n v="7"/>
    <n v="1900"/>
    <x v="36"/>
    <x v="1"/>
    <n v="2026"/>
  </r>
  <r>
    <d v="2026-02-11T00:00:00"/>
    <x v="1"/>
    <x v="1"/>
    <x v="1"/>
    <n v="13"/>
    <n v="3000"/>
    <x v="10"/>
    <x v="1"/>
    <n v="2026"/>
  </r>
  <r>
    <d v="2026-02-12T00:00:00"/>
    <x v="2"/>
    <x v="2"/>
    <x v="2"/>
    <n v="10"/>
    <n v="4500"/>
    <x v="37"/>
    <x v="1"/>
    <n v="2026"/>
  </r>
  <r>
    <d v="2026-02-13T00:00:00"/>
    <x v="3"/>
    <x v="3"/>
    <x v="3"/>
    <n v="18"/>
    <n v="1600"/>
    <x v="38"/>
    <x v="1"/>
    <n v="2026"/>
  </r>
  <r>
    <d v="2026-02-14T00:00:00"/>
    <x v="0"/>
    <x v="4"/>
    <x v="4"/>
    <n v="6"/>
    <n v="2600"/>
    <x v="39"/>
    <x v="1"/>
    <n v="2026"/>
  </r>
  <r>
    <d v="2026-02-15T00:00:00"/>
    <x v="1"/>
    <x v="5"/>
    <x v="0"/>
    <n v="15"/>
    <n v="3200"/>
    <x v="40"/>
    <x v="1"/>
    <n v="2026"/>
  </r>
  <r>
    <d v="2026-02-16T00:00:00"/>
    <x v="2"/>
    <x v="6"/>
    <x v="1"/>
    <n v="8"/>
    <n v="2100"/>
    <x v="6"/>
    <x v="1"/>
    <n v="2026"/>
  </r>
  <r>
    <d v="2026-02-17T00:00:00"/>
    <x v="3"/>
    <x v="7"/>
    <x v="2"/>
    <n v="12"/>
    <n v="4000"/>
    <x v="40"/>
    <x v="1"/>
    <n v="2026"/>
  </r>
  <r>
    <d v="2026-02-18T00:00:00"/>
    <x v="0"/>
    <x v="0"/>
    <x v="3"/>
    <n v="9"/>
    <n v="1800"/>
    <x v="41"/>
    <x v="1"/>
    <n v="2026"/>
  </r>
  <r>
    <d v="2026-02-19T00:00:00"/>
    <x v="1"/>
    <x v="1"/>
    <x v="4"/>
    <n v="20"/>
    <n v="5200"/>
    <x v="42"/>
    <x v="1"/>
    <n v="2026"/>
  </r>
  <r>
    <d v="2026-02-20T00:00:00"/>
    <x v="2"/>
    <x v="2"/>
    <x v="0"/>
    <n v="5"/>
    <n v="2400"/>
    <x v="43"/>
    <x v="1"/>
    <n v="2026"/>
  </r>
  <r>
    <d v="2026-02-21T00:00:00"/>
    <x v="3"/>
    <x v="3"/>
    <x v="1"/>
    <n v="14"/>
    <n v="2900"/>
    <x v="44"/>
    <x v="1"/>
    <n v="2026"/>
  </r>
  <r>
    <d v="2026-02-22T00:00:00"/>
    <x v="0"/>
    <x v="4"/>
    <x v="2"/>
    <n v="11"/>
    <n v="3600"/>
    <x v="21"/>
    <x v="1"/>
    <n v="2026"/>
  </r>
  <r>
    <d v="2026-02-23T00:00:00"/>
    <x v="1"/>
    <x v="5"/>
    <x v="3"/>
    <n v="7"/>
    <n v="1700"/>
    <x v="45"/>
    <x v="1"/>
    <n v="2026"/>
  </r>
  <r>
    <d v="2026-02-24T00:00:00"/>
    <x v="2"/>
    <x v="6"/>
    <x v="4"/>
    <n v="16"/>
    <n v="3300"/>
    <x v="46"/>
    <x v="1"/>
    <n v="2026"/>
  </r>
  <r>
    <d v="2026-02-25T00:00:00"/>
    <x v="3"/>
    <x v="7"/>
    <x v="0"/>
    <n v="10"/>
    <n v="5000"/>
    <x v="0"/>
    <x v="1"/>
    <n v="2026"/>
  </r>
  <r>
    <d v="2026-02-26T00:00:00"/>
    <x v="0"/>
    <x v="0"/>
    <x v="1"/>
    <n v="13"/>
    <n v="2200"/>
    <x v="47"/>
    <x v="1"/>
    <n v="2026"/>
  </r>
  <r>
    <d v="2026-02-27T00:00:00"/>
    <x v="1"/>
    <x v="1"/>
    <x v="2"/>
    <n v="8"/>
    <n v="3800"/>
    <x v="48"/>
    <x v="1"/>
    <n v="2026"/>
  </r>
  <r>
    <d v="2026-02-28T00:00:00"/>
    <x v="2"/>
    <x v="2"/>
    <x v="3"/>
    <n v="15"/>
    <n v="4500"/>
    <x v="49"/>
    <x v="1"/>
    <n v="2026"/>
  </r>
  <r>
    <d v="2026-03-01T00:00:00"/>
    <x v="3"/>
    <x v="3"/>
    <x v="4"/>
    <n v="6"/>
    <n v="2000"/>
    <x v="43"/>
    <x v="2"/>
    <n v="2026"/>
  </r>
  <r>
    <d v="2026-03-02T00:00:00"/>
    <x v="0"/>
    <x v="4"/>
    <x v="0"/>
    <n v="12"/>
    <n v="3100"/>
    <x v="50"/>
    <x v="2"/>
    <n v="2026"/>
  </r>
  <r>
    <d v="2026-03-03T00:00:00"/>
    <x v="1"/>
    <x v="5"/>
    <x v="1"/>
    <n v="9"/>
    <n v="1500"/>
    <x v="51"/>
    <x v="2"/>
    <n v="2026"/>
  </r>
  <r>
    <d v="2026-03-04T00:00:00"/>
    <x v="2"/>
    <x v="6"/>
    <x v="2"/>
    <n v="17"/>
    <n v="2700"/>
    <x v="52"/>
    <x v="2"/>
    <n v="2026"/>
  </r>
  <r>
    <d v="2026-03-05T00:00:00"/>
    <x v="3"/>
    <x v="7"/>
    <x v="3"/>
    <n v="5"/>
    <n v="4200"/>
    <x v="53"/>
    <x v="2"/>
    <n v="2026"/>
  </r>
  <r>
    <d v="2026-03-06T00:00:00"/>
    <x v="0"/>
    <x v="0"/>
    <x v="4"/>
    <n v="14"/>
    <n v="1800"/>
    <x v="54"/>
    <x v="2"/>
    <n v="2026"/>
  </r>
  <r>
    <d v="2026-03-07T00:00:00"/>
    <x v="1"/>
    <x v="1"/>
    <x v="0"/>
    <n v="11"/>
    <n v="3400"/>
    <x v="55"/>
    <x v="2"/>
    <n v="2026"/>
  </r>
  <r>
    <d v="2026-03-08T00:00:00"/>
    <x v="2"/>
    <x v="2"/>
    <x v="1"/>
    <n v="8"/>
    <n v="5100"/>
    <x v="56"/>
    <x v="2"/>
    <n v="2026"/>
  </r>
  <r>
    <d v="2026-03-09T00:00:00"/>
    <x v="3"/>
    <x v="3"/>
    <x v="2"/>
    <n v="16"/>
    <n v="2300"/>
    <x v="57"/>
    <x v="2"/>
    <n v="2026"/>
  </r>
  <r>
    <d v="2026-03-10T00:00:00"/>
    <x v="0"/>
    <x v="4"/>
    <x v="3"/>
    <n v="10"/>
    <n v="2800"/>
    <x v="58"/>
    <x v="2"/>
    <n v="2026"/>
  </r>
  <r>
    <d v="2026-03-11T00:00:00"/>
    <x v="1"/>
    <x v="5"/>
    <x v="4"/>
    <n v="7"/>
    <n v="4000"/>
    <x v="58"/>
    <x v="2"/>
    <n v="2026"/>
  </r>
  <r>
    <d v="2026-03-12T00:00:00"/>
    <x v="2"/>
    <x v="6"/>
    <x v="0"/>
    <n v="13"/>
    <n v="1600"/>
    <x v="59"/>
    <x v="2"/>
    <n v="2026"/>
  </r>
  <r>
    <d v="2026-03-13T00:00:00"/>
    <x v="3"/>
    <x v="7"/>
    <x v="1"/>
    <n v="18"/>
    <n v="3000"/>
    <x v="60"/>
    <x v="2"/>
    <n v="2026"/>
  </r>
  <r>
    <d v="2026-03-14T00:00:00"/>
    <x v="0"/>
    <x v="0"/>
    <x v="2"/>
    <n v="6"/>
    <n v="4600"/>
    <x v="61"/>
    <x v="2"/>
    <n v="2026"/>
  </r>
  <r>
    <d v="2026-03-15T00:00:00"/>
    <x v="1"/>
    <x v="1"/>
    <x v="3"/>
    <n v="15"/>
    <n v="1900"/>
    <x v="62"/>
    <x v="2"/>
    <n v="2026"/>
  </r>
  <r>
    <d v="2026-03-16T00:00:00"/>
    <x v="2"/>
    <x v="2"/>
    <x v="4"/>
    <n v="9"/>
    <n v="2500"/>
    <x v="63"/>
    <x v="2"/>
    <n v="2026"/>
  </r>
  <r>
    <d v="2026-03-17T00:00:00"/>
    <x v="3"/>
    <x v="3"/>
    <x v="0"/>
    <n v="12"/>
    <n v="3500"/>
    <x v="64"/>
    <x v="2"/>
    <n v="2026"/>
  </r>
  <r>
    <d v="2026-03-18T00:00:00"/>
    <x v="0"/>
    <x v="4"/>
    <x v="1"/>
    <n v="5"/>
    <n v="2100"/>
    <x v="65"/>
    <x v="2"/>
    <n v="2026"/>
  </r>
  <r>
    <d v="2026-03-19T00:00:00"/>
    <x v="1"/>
    <x v="5"/>
    <x v="2"/>
    <n v="14"/>
    <n v="3200"/>
    <x v="66"/>
    <x v="2"/>
    <n v="2026"/>
  </r>
  <r>
    <d v="2026-03-20T00:00:00"/>
    <x v="2"/>
    <x v="6"/>
    <x v="3"/>
    <n v="11"/>
    <n v="4800"/>
    <x v="46"/>
    <x v="2"/>
    <n v="2026"/>
  </r>
  <r>
    <d v="2026-03-21T00:00:00"/>
    <x v="3"/>
    <x v="7"/>
    <x v="4"/>
    <n v="8"/>
    <n v="1700"/>
    <x v="67"/>
    <x v="2"/>
    <n v="2026"/>
  </r>
  <r>
    <d v="2026-03-22T00:00:00"/>
    <x v="0"/>
    <x v="0"/>
    <x v="0"/>
    <n v="17"/>
    <n v="2900"/>
    <x v="68"/>
    <x v="2"/>
    <n v="2026"/>
  </r>
  <r>
    <d v="2026-03-23T00:00:00"/>
    <x v="1"/>
    <x v="1"/>
    <x v="1"/>
    <n v="10"/>
    <n v="5000"/>
    <x v="0"/>
    <x v="2"/>
    <n v="2026"/>
  </r>
  <r>
    <d v="2026-03-24T00:00:00"/>
    <x v="2"/>
    <x v="2"/>
    <x v="2"/>
    <n v="13"/>
    <n v="2200"/>
    <x v="47"/>
    <x v="2"/>
    <n v="2026"/>
  </r>
  <r>
    <d v="2026-03-25T00:00:00"/>
    <x v="3"/>
    <x v="3"/>
    <x v="3"/>
    <n v="7"/>
    <n v="3600"/>
    <x v="54"/>
    <x v="2"/>
    <n v="2026"/>
  </r>
  <r>
    <d v="2026-03-26T00:00:00"/>
    <x v="0"/>
    <x v="4"/>
    <x v="4"/>
    <n v="16"/>
    <n v="4500"/>
    <x v="69"/>
    <x v="2"/>
    <n v="2026"/>
  </r>
  <r>
    <d v="2026-03-27T00:00:00"/>
    <x v="1"/>
    <x v="5"/>
    <x v="0"/>
    <n v="9"/>
    <n v="1800"/>
    <x v="41"/>
    <x v="2"/>
    <n v="2026"/>
  </r>
  <r>
    <d v="2026-03-28T00:00:00"/>
    <x v="2"/>
    <x v="6"/>
    <x v="1"/>
    <n v="12"/>
    <n v="3100"/>
    <x v="50"/>
    <x v="2"/>
    <n v="2026"/>
  </r>
  <r>
    <d v="2026-03-29T00:00:00"/>
    <x v="3"/>
    <x v="7"/>
    <x v="2"/>
    <n v="6"/>
    <n v="2400"/>
    <x v="23"/>
    <x v="2"/>
    <n v="2026"/>
  </r>
  <r>
    <d v="2026-03-30T00:00:00"/>
    <x v="0"/>
    <x v="0"/>
    <x v="3"/>
    <n v="15"/>
    <n v="3800"/>
    <x v="70"/>
    <x v="2"/>
    <n v="2026"/>
  </r>
  <r>
    <d v="2026-03-31T00:00:00"/>
    <x v="1"/>
    <x v="1"/>
    <x v="4"/>
    <n v="8"/>
    <n v="-354850"/>
    <x v="71"/>
    <x v="2"/>
    <n v="2026"/>
  </r>
  <r>
    <d v="2026-04-01T00:00:00"/>
    <x v="2"/>
    <x v="2"/>
    <x v="0"/>
    <n v="20"/>
    <n v="2000"/>
    <x v="72"/>
    <x v="3"/>
    <n v="2026"/>
  </r>
  <r>
    <d v="2026-04-02T00:00:00"/>
    <x v="3"/>
    <x v="3"/>
    <x v="1"/>
    <n v="11"/>
    <n v="3300"/>
    <x v="73"/>
    <x v="3"/>
    <n v="2026"/>
  </r>
  <r>
    <d v="2026-04-03T00:00:00"/>
    <x v="0"/>
    <x v="4"/>
    <x v="2"/>
    <n v="5"/>
    <n v="1500"/>
    <x v="74"/>
    <x v="3"/>
    <n v="2026"/>
  </r>
  <r>
    <d v="2026-04-04T00:00:00"/>
    <x v="1"/>
    <x v="5"/>
    <x v="3"/>
    <n v="14"/>
    <n v="2700"/>
    <x v="75"/>
    <x v="3"/>
    <n v="2026"/>
  </r>
  <r>
    <d v="2026-04-05T00:00:00"/>
    <x v="2"/>
    <x v="6"/>
    <x v="4"/>
    <n v="10"/>
    <n v="4200"/>
    <x v="64"/>
    <x v="3"/>
    <n v="2026"/>
  </r>
  <r>
    <d v="2026-04-06T00:00:00"/>
    <x v="3"/>
    <x v="7"/>
    <x v="0"/>
    <n v="7"/>
    <n v="1900"/>
    <x v="36"/>
    <x v="3"/>
    <n v="2026"/>
  </r>
  <r>
    <d v="2026-04-07T00:00:00"/>
    <x v="0"/>
    <x v="0"/>
    <x v="1"/>
    <n v="13"/>
    <n v="3400"/>
    <x v="76"/>
    <x v="3"/>
    <n v="2026"/>
  </r>
  <r>
    <d v="2026-04-08T00:00:00"/>
    <x v="1"/>
    <x v="1"/>
    <x v="1"/>
    <n v="16"/>
    <n v="5100"/>
    <x v="77"/>
    <x v="3"/>
    <n v="2026"/>
  </r>
  <r>
    <d v="2026-04-09T00:00:00"/>
    <x v="2"/>
    <x v="2"/>
    <x v="0"/>
    <n v="9"/>
    <n v="2300"/>
    <x v="78"/>
    <x v="3"/>
    <n v="2026"/>
  </r>
  <r>
    <d v="2026-04-10T00:00:00"/>
    <x v="3"/>
    <x v="3"/>
    <x v="1"/>
    <n v="12"/>
    <n v="2800"/>
    <x v="32"/>
    <x v="3"/>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2:B21" firstHeaderRow="1" firstDataRow="1" firstDataCol="1"/>
  <pivotFields count="9">
    <pivotField numFmtId="15" showAll="0"/>
    <pivotField showAll="0">
      <items count="5">
        <item h="1" x="2"/>
        <item h="1" x="0"/>
        <item x="1"/>
        <item h="1" x="3"/>
        <item t="default"/>
      </items>
    </pivotField>
    <pivotField axis="axisRow" showAll="0" sortType="descending">
      <items count="9">
        <item x="1"/>
        <item x="0"/>
        <item x="3"/>
        <item x="5"/>
        <item x="6"/>
        <item x="7"/>
        <item x="2"/>
        <item x="4"/>
        <item t="default"/>
      </items>
      <autoSortScope>
        <pivotArea dataOnly="0" outline="0" fieldPosition="0">
          <references count="1">
            <reference field="4294967294" count="1" selected="0">
              <x v="0"/>
            </reference>
          </references>
        </pivotArea>
      </autoSortScope>
    </pivotField>
    <pivotField showAll="0">
      <items count="7">
        <item x="2"/>
        <item x="0"/>
        <item x="3"/>
        <item x="1"/>
        <item x="4"/>
        <item m="1" x="5"/>
        <item t="default"/>
      </items>
    </pivotField>
    <pivotField showAll="0"/>
    <pivotField showAll="0"/>
    <pivotField dataField="1" showAll="0">
      <items count="80">
        <item x="71"/>
        <item x="9"/>
        <item x="74"/>
        <item x="19"/>
        <item x="29"/>
        <item x="12"/>
        <item x="3"/>
        <item x="65"/>
        <item x="45"/>
        <item x="43"/>
        <item x="36"/>
        <item x="51"/>
        <item x="67"/>
        <item x="33"/>
        <item x="23"/>
        <item x="15"/>
        <item x="4"/>
        <item x="39"/>
        <item x="41"/>
        <item x="6"/>
        <item x="27"/>
        <item x="11"/>
        <item x="1"/>
        <item x="78"/>
        <item x="59"/>
        <item x="53"/>
        <item x="2"/>
        <item x="63"/>
        <item x="25"/>
        <item x="54"/>
        <item x="5"/>
        <item x="14"/>
        <item x="61"/>
        <item x="58"/>
        <item x="62"/>
        <item x="47"/>
        <item x="38"/>
        <item x="48"/>
        <item x="28"/>
        <item x="7"/>
        <item x="32"/>
        <item x="24"/>
        <item x="35"/>
        <item x="17"/>
        <item x="73"/>
        <item x="57"/>
        <item x="50"/>
        <item x="55"/>
        <item x="75"/>
        <item x="10"/>
        <item x="21"/>
        <item x="72"/>
        <item x="44"/>
        <item x="56"/>
        <item x="64"/>
        <item x="30"/>
        <item x="76"/>
        <item x="66"/>
        <item x="37"/>
        <item x="31"/>
        <item x="52"/>
        <item x="22"/>
        <item x="16"/>
        <item x="40"/>
        <item x="68"/>
        <item x="8"/>
        <item x="0"/>
        <item x="20"/>
        <item x="46"/>
        <item x="60"/>
        <item x="34"/>
        <item x="70"/>
        <item x="18"/>
        <item x="49"/>
        <item x="26"/>
        <item x="69"/>
        <item x="77"/>
        <item x="13"/>
        <item x="42"/>
        <item t="default"/>
      </items>
    </pivotField>
    <pivotField showAll="0">
      <items count="5">
        <item x="0"/>
        <item x="1"/>
        <item x="2"/>
        <item x="3"/>
        <item t="default"/>
      </items>
    </pivotField>
    <pivotField showAll="0"/>
  </pivotFields>
  <rowFields count="1">
    <field x="2"/>
  </rowFields>
  <rowItems count="9">
    <i>
      <x v="4"/>
    </i>
    <i>
      <x v="1"/>
    </i>
    <i>
      <x v="6"/>
    </i>
    <i>
      <x v="2"/>
    </i>
    <i>
      <x v="7"/>
    </i>
    <i>
      <x v="3"/>
    </i>
    <i>
      <x v="5"/>
    </i>
    <i>
      <x/>
    </i>
    <i t="grand">
      <x/>
    </i>
  </rowItems>
  <colItems count="1">
    <i/>
  </colItems>
  <dataFields count="1">
    <dataField name="Sum of Total Sales" fld="6"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3:B9" firstHeaderRow="1" firstDataRow="1" firstDataCol="1"/>
  <pivotFields count="9">
    <pivotField numFmtId="15" showAll="0"/>
    <pivotField showAll="0">
      <items count="5">
        <item h="1" x="2"/>
        <item h="1" x="0"/>
        <item x="1"/>
        <item h="1" x="3"/>
        <item t="default"/>
      </items>
    </pivotField>
    <pivotField showAll="0">
      <items count="9">
        <item x="1"/>
        <item x="0"/>
        <item x="3"/>
        <item x="5"/>
        <item x="6"/>
        <item x="7"/>
        <item x="2"/>
        <item x="4"/>
        <item t="default"/>
      </items>
    </pivotField>
    <pivotField axis="axisRow" showAll="0">
      <items count="7">
        <item x="2"/>
        <item x="0"/>
        <item x="3"/>
        <item x="1"/>
        <item x="4"/>
        <item m="1" x="5"/>
        <item t="default"/>
      </items>
    </pivotField>
    <pivotField showAll="0"/>
    <pivotField showAll="0"/>
    <pivotField dataField="1" showAll="0">
      <items count="80">
        <item x="71"/>
        <item x="9"/>
        <item x="74"/>
        <item x="19"/>
        <item x="29"/>
        <item x="12"/>
        <item x="3"/>
        <item x="65"/>
        <item x="45"/>
        <item x="43"/>
        <item x="36"/>
        <item x="51"/>
        <item x="67"/>
        <item x="33"/>
        <item x="23"/>
        <item x="15"/>
        <item x="4"/>
        <item x="39"/>
        <item x="41"/>
        <item x="6"/>
        <item x="27"/>
        <item x="11"/>
        <item x="1"/>
        <item x="78"/>
        <item x="59"/>
        <item x="53"/>
        <item x="2"/>
        <item x="63"/>
        <item x="25"/>
        <item x="54"/>
        <item x="5"/>
        <item x="14"/>
        <item x="61"/>
        <item x="58"/>
        <item x="62"/>
        <item x="47"/>
        <item x="38"/>
        <item x="48"/>
        <item x="28"/>
        <item x="7"/>
        <item x="32"/>
        <item x="24"/>
        <item x="35"/>
        <item x="17"/>
        <item x="73"/>
        <item x="57"/>
        <item x="50"/>
        <item x="55"/>
        <item x="75"/>
        <item x="10"/>
        <item x="21"/>
        <item x="72"/>
        <item x="44"/>
        <item x="56"/>
        <item x="64"/>
        <item x="30"/>
        <item x="76"/>
        <item x="66"/>
        <item x="37"/>
        <item x="31"/>
        <item x="52"/>
        <item x="22"/>
        <item x="16"/>
        <item x="40"/>
        <item x="68"/>
        <item x="8"/>
        <item x="0"/>
        <item x="20"/>
        <item x="46"/>
        <item x="60"/>
        <item x="34"/>
        <item x="70"/>
        <item x="18"/>
        <item x="49"/>
        <item x="26"/>
        <item x="69"/>
        <item x="77"/>
        <item x="13"/>
        <item x="42"/>
        <item t="default"/>
      </items>
    </pivotField>
    <pivotField showAll="0">
      <items count="5">
        <item x="0"/>
        <item x="1"/>
        <item x="2"/>
        <item x="3"/>
        <item t="default"/>
      </items>
    </pivotField>
    <pivotField showAll="0"/>
  </pivotFields>
  <rowFields count="1">
    <field x="3"/>
  </rowFields>
  <rowItems count="6">
    <i>
      <x/>
    </i>
    <i>
      <x v="1"/>
    </i>
    <i>
      <x v="2"/>
    </i>
    <i>
      <x v="3"/>
    </i>
    <i>
      <x v="4"/>
    </i>
    <i t="grand">
      <x/>
    </i>
  </rowItems>
  <colItems count="1">
    <i/>
  </colItems>
  <dataFields count="1">
    <dataField name="Sum of Total Sales" fld="6" baseField="0" baseItem="0"/>
  </dataFields>
  <chartFormats count="20">
    <chartFormat chart="17" format="55"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17" format="56">
      <pivotArea type="data" outline="0" fieldPosition="0">
        <references count="2">
          <reference field="4294967294" count="1" selected="0">
            <x v="0"/>
          </reference>
          <reference field="3" count="1" selected="0">
            <x v="0"/>
          </reference>
        </references>
      </pivotArea>
    </chartFormat>
    <chartFormat chart="17" format="57">
      <pivotArea type="data" outline="0" fieldPosition="0">
        <references count="2">
          <reference field="4294967294" count="1" selected="0">
            <x v="0"/>
          </reference>
          <reference field="3" count="1" selected="0">
            <x v="1"/>
          </reference>
        </references>
      </pivotArea>
    </chartFormat>
    <chartFormat chart="17" format="58">
      <pivotArea type="data" outline="0" fieldPosition="0">
        <references count="2">
          <reference field="4294967294" count="1" selected="0">
            <x v="0"/>
          </reference>
          <reference field="3" count="1" selected="0">
            <x v="2"/>
          </reference>
        </references>
      </pivotArea>
    </chartFormat>
    <chartFormat chart="17" format="59">
      <pivotArea type="data" outline="0" fieldPosition="0">
        <references count="2">
          <reference field="4294967294" count="1" selected="0">
            <x v="0"/>
          </reference>
          <reference field="3" count="1" selected="0">
            <x v="3"/>
          </reference>
        </references>
      </pivotArea>
    </chartFormat>
    <chartFormat chart="17" format="60">
      <pivotArea type="data" outline="0" fieldPosition="0">
        <references count="2">
          <reference field="4294967294" count="1" selected="0">
            <x v="0"/>
          </reference>
          <reference field="3" count="1" selected="0">
            <x v="4"/>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3" count="1" selected="0">
            <x v="0"/>
          </reference>
        </references>
      </pivotArea>
    </chartFormat>
    <chartFormat chart="22" format="9">
      <pivotArea type="data" outline="0" fieldPosition="0">
        <references count="2">
          <reference field="4294967294" count="1" selected="0">
            <x v="0"/>
          </reference>
          <reference field="3" count="1" selected="0">
            <x v="1"/>
          </reference>
        </references>
      </pivotArea>
    </chartFormat>
    <chartFormat chart="22" format="10">
      <pivotArea type="data" outline="0" fieldPosition="0">
        <references count="2">
          <reference field="4294967294" count="1" selected="0">
            <x v="0"/>
          </reference>
          <reference field="3" count="1" selected="0">
            <x v="2"/>
          </reference>
        </references>
      </pivotArea>
    </chartFormat>
    <chartFormat chart="22" format="11">
      <pivotArea type="data" outline="0" fieldPosition="0">
        <references count="2">
          <reference field="4294967294" count="1" selected="0">
            <x v="0"/>
          </reference>
          <reference field="3" count="1" selected="0">
            <x v="3"/>
          </reference>
        </references>
      </pivotArea>
    </chartFormat>
    <chartFormat chart="22" format="12">
      <pivotArea type="data" outline="0" fieldPosition="0">
        <references count="2">
          <reference field="4294967294" count="1" selected="0">
            <x v="0"/>
          </reference>
          <reference field="3" count="1" selected="0">
            <x v="4"/>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3" count="1" selected="0">
            <x v="0"/>
          </reference>
        </references>
      </pivotArea>
    </chartFormat>
    <chartFormat chart="24" format="3">
      <pivotArea type="data" outline="0" fieldPosition="0">
        <references count="2">
          <reference field="4294967294" count="1" selected="0">
            <x v="0"/>
          </reference>
          <reference field="3" count="1" selected="0">
            <x v="1"/>
          </reference>
        </references>
      </pivotArea>
    </chartFormat>
    <chartFormat chart="24" format="4">
      <pivotArea type="data" outline="0" fieldPosition="0">
        <references count="2">
          <reference field="4294967294" count="1" selected="0">
            <x v="0"/>
          </reference>
          <reference field="3" count="1" selected="0">
            <x v="2"/>
          </reference>
        </references>
      </pivotArea>
    </chartFormat>
    <chartFormat chart="24" format="5">
      <pivotArea type="data" outline="0" fieldPosition="0">
        <references count="2">
          <reference field="4294967294" count="1" selected="0">
            <x v="0"/>
          </reference>
          <reference field="3" count="1" selected="0">
            <x v="3"/>
          </reference>
        </references>
      </pivotArea>
    </chartFormat>
    <chartFormat chart="24"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J3:K8" firstHeaderRow="1" firstDataRow="1" firstDataCol="1"/>
  <pivotFields count="9">
    <pivotField numFmtId="15" showAll="0"/>
    <pivotField showAll="0">
      <items count="5">
        <item h="1" x="2"/>
        <item h="1" x="0"/>
        <item x="1"/>
        <item h="1" x="3"/>
        <item t="default"/>
      </items>
    </pivotField>
    <pivotField showAll="0">
      <items count="9">
        <item x="1"/>
        <item x="0"/>
        <item x="3"/>
        <item x="5"/>
        <item x="6"/>
        <item x="7"/>
        <item x="2"/>
        <item x="4"/>
        <item t="default"/>
      </items>
    </pivotField>
    <pivotField showAll="0">
      <items count="7">
        <item x="2"/>
        <item x="0"/>
        <item x="3"/>
        <item x="1"/>
        <item x="4"/>
        <item m="1" x="5"/>
        <item t="default"/>
      </items>
    </pivotField>
    <pivotField showAll="0"/>
    <pivotField showAll="0"/>
    <pivotField dataField="1" showAll="0">
      <items count="80">
        <item x="71"/>
        <item x="9"/>
        <item x="74"/>
        <item x="19"/>
        <item x="29"/>
        <item x="12"/>
        <item x="3"/>
        <item x="65"/>
        <item x="45"/>
        <item x="43"/>
        <item x="36"/>
        <item x="51"/>
        <item x="67"/>
        <item x="33"/>
        <item x="23"/>
        <item x="15"/>
        <item x="4"/>
        <item x="39"/>
        <item x="41"/>
        <item x="6"/>
        <item x="27"/>
        <item x="11"/>
        <item x="1"/>
        <item x="78"/>
        <item x="59"/>
        <item x="53"/>
        <item x="2"/>
        <item x="63"/>
        <item x="25"/>
        <item x="54"/>
        <item x="5"/>
        <item x="14"/>
        <item x="61"/>
        <item x="58"/>
        <item x="62"/>
        <item x="47"/>
        <item x="38"/>
        <item x="48"/>
        <item x="28"/>
        <item x="7"/>
        <item x="32"/>
        <item x="24"/>
        <item x="35"/>
        <item x="17"/>
        <item x="73"/>
        <item x="57"/>
        <item x="50"/>
        <item x="55"/>
        <item x="75"/>
        <item x="10"/>
        <item x="21"/>
        <item x="72"/>
        <item x="44"/>
        <item x="56"/>
        <item x="64"/>
        <item x="30"/>
        <item x="76"/>
        <item x="66"/>
        <item x="37"/>
        <item x="31"/>
        <item x="52"/>
        <item x="22"/>
        <item x="16"/>
        <item x="40"/>
        <item x="68"/>
        <item x="8"/>
        <item x="0"/>
        <item x="20"/>
        <item x="46"/>
        <item x="60"/>
        <item x="34"/>
        <item x="70"/>
        <item x="18"/>
        <item x="49"/>
        <item x="26"/>
        <item x="69"/>
        <item x="77"/>
        <item x="13"/>
        <item x="42"/>
        <item t="default"/>
      </items>
    </pivotField>
    <pivotField axis="axisRow" showAll="0">
      <items count="5">
        <item x="0"/>
        <item x="1"/>
        <item x="2"/>
        <item x="3"/>
        <item t="default"/>
      </items>
    </pivotField>
    <pivotField showAll="0"/>
  </pivotFields>
  <rowFields count="1">
    <field x="7"/>
  </rowFields>
  <rowItems count="5">
    <i>
      <x/>
    </i>
    <i>
      <x v="1"/>
    </i>
    <i>
      <x v="2"/>
    </i>
    <i>
      <x v="3"/>
    </i>
    <i t="grand">
      <x/>
    </i>
  </rowItems>
  <colItems count="1">
    <i/>
  </colItems>
  <dataFields count="1">
    <dataField name="Sum of Total Sales" fld="6" baseField="0" baseItem="0"/>
  </dataField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3"/>
    <pivotTable tabId="4" name="PivotTable1"/>
    <pivotTable tabId="4" name="PivotTable2"/>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4" name="PivotTable2"/>
    <pivotTable tabId="4" name="PivotTable1"/>
    <pivotTable tabId="4" name="PivotTable3"/>
  </pivotTables>
  <data>
    <tabular pivotCacheId="1">
      <items count="8">
        <i x="1" s="1"/>
        <i x="0" s="1"/>
        <i x="3" s="1"/>
        <i x="5" s="1"/>
        <i x="6" s="1"/>
        <i x="7"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3"/>
    <pivotTable tabId="4" name="PivotTable1"/>
    <pivotTable tabId="4" name="PivotTable2"/>
  </pivotTables>
  <data>
    <tabular pivotCacheId="1">
      <items count="6">
        <i x="2" s="1"/>
        <i x="0" s="1"/>
        <i x="3" s="1"/>
        <i x="1"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startItem="1" rowHeight="241300"/>
  <slicer name="Salesperson 1" cache="Slicer_Salesperson" caption="Salesperson" startItem="2" rowHeight="241300"/>
  <slicer name="Product 1" cache="Slicer_Product" caption="Product" rowHeight="241300"/>
</slicers>
</file>

<file path=xl/tables/table1.xml><?xml version="1.0" encoding="utf-8"?>
<table xmlns="http://schemas.openxmlformats.org/spreadsheetml/2006/main" id="1" name="Table1" displayName="Table1" ref="A1:I101" totalsRowShown="0" headerRowDxfId="0" dataDxfId="1">
  <autoFilter ref="A1:I101"/>
  <tableColumns count="9">
    <tableColumn id="1" name="Date" dataDxfId="5"/>
    <tableColumn id="2" name="Region"/>
    <tableColumn id="3" name="Salesperson"/>
    <tableColumn id="4" name="Product"/>
    <tableColumn id="5" name="Quantity"/>
    <tableColumn id="6" name="Unit Price"/>
    <tableColumn id="7" name="Total Sales" dataDxfId="4">
      <calculatedColumnFormula>E2*F2</calculatedColumnFormula>
    </tableColumn>
    <tableColumn id="8" name="Month" dataDxfId="3">
      <calculatedColumnFormula>TEXT(A2,"mmmm")</calculatedColumnFormula>
    </tableColumn>
    <tableColumn id="9" name="Year" dataDxfId="2">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topLeftCell="A21" zoomScaleNormal="100" workbookViewId="0">
      <selection activeCell="E103" sqref="E103"/>
    </sheetView>
  </sheetViews>
  <sheetFormatPr defaultRowHeight="15" x14ac:dyDescent="0.25"/>
  <cols>
    <col min="1" max="1" width="9.7109375" bestFit="1" customWidth="1"/>
    <col min="2" max="2" width="11.28515625" customWidth="1"/>
    <col min="3" max="3" width="17.5703125" customWidth="1"/>
    <col min="4" max="4" width="12.42578125" customWidth="1"/>
    <col min="5" max="5" width="13.28515625" customWidth="1"/>
    <col min="6" max="6" width="15" customWidth="1"/>
    <col min="7" max="7" width="16.42578125" customWidth="1"/>
    <col min="8" max="8" width="10.42578125" customWidth="1"/>
    <col min="10" max="10" width="12.28515625" customWidth="1"/>
    <col min="11" max="11" width="19.5703125" customWidth="1"/>
  </cols>
  <sheetData>
    <row r="1" spans="1:11" ht="37.5" x14ac:dyDescent="0.4">
      <c r="A1" s="2" t="s">
        <v>0</v>
      </c>
      <c r="B1" s="2" t="s">
        <v>1</v>
      </c>
      <c r="C1" s="2" t="s">
        <v>2</v>
      </c>
      <c r="D1" s="2" t="s">
        <v>3</v>
      </c>
      <c r="E1" s="3" t="s">
        <v>4</v>
      </c>
      <c r="F1" s="2" t="s">
        <v>5</v>
      </c>
      <c r="G1" s="3" t="s">
        <v>6</v>
      </c>
      <c r="H1" s="3" t="s">
        <v>24</v>
      </c>
      <c r="I1" s="3" t="s">
        <v>25</v>
      </c>
      <c r="J1" s="2" t="s">
        <v>26</v>
      </c>
      <c r="K1" s="2" t="s">
        <v>27</v>
      </c>
    </row>
    <row r="2" spans="1:11" x14ac:dyDescent="0.25">
      <c r="A2" s="9">
        <v>46023</v>
      </c>
      <c r="B2" t="s">
        <v>7</v>
      </c>
      <c r="C2" t="s">
        <v>11</v>
      </c>
      <c r="D2" t="s">
        <v>19</v>
      </c>
      <c r="E2" s="1">
        <v>5</v>
      </c>
      <c r="F2">
        <v>10000</v>
      </c>
      <c r="G2" s="1">
        <f>E2*F2</f>
        <v>50000</v>
      </c>
      <c r="H2" s="1" t="str">
        <f>TEXT(A2,"mmmm")</f>
        <v>January</v>
      </c>
      <c r="I2" s="1">
        <f>YEAR(A2)</f>
        <v>2026</v>
      </c>
      <c r="J2" s="4">
        <v>0.05</v>
      </c>
      <c r="K2">
        <f>G102</f>
        <v>500000</v>
      </c>
    </row>
    <row r="3" spans="1:11" x14ac:dyDescent="0.25">
      <c r="A3" s="9">
        <v>46024</v>
      </c>
      <c r="B3" t="s">
        <v>8</v>
      </c>
      <c r="C3" t="s">
        <v>12</v>
      </c>
      <c r="D3" t="s">
        <v>20</v>
      </c>
      <c r="E3">
        <v>8</v>
      </c>
      <c r="F3">
        <v>2500</v>
      </c>
      <c r="G3" s="1">
        <f t="shared" ref="G3:G66" si="0">E3*F3</f>
        <v>20000</v>
      </c>
      <c r="H3" s="1" t="str">
        <f t="shared" ref="H3:H66" si="1">TEXT(A3,"mmmm")</f>
        <v>January</v>
      </c>
      <c r="I3" s="1">
        <f t="shared" ref="I3:I66" si="2">YEAR(A3)</f>
        <v>2026</v>
      </c>
      <c r="J3" s="4">
        <v>0.1</v>
      </c>
      <c r="K3">
        <f t="dataTable" ref="K3:K4" dt2D="0" dtr="0" r1="F2"/>
        <v>450000.5</v>
      </c>
    </row>
    <row r="4" spans="1:11" x14ac:dyDescent="0.25">
      <c r="A4" s="9">
        <v>46025</v>
      </c>
      <c r="B4" t="s">
        <v>9</v>
      </c>
      <c r="C4" t="s">
        <v>13</v>
      </c>
      <c r="D4" t="s">
        <v>21</v>
      </c>
      <c r="E4">
        <v>12</v>
      </c>
      <c r="F4">
        <v>1800</v>
      </c>
      <c r="G4" s="1">
        <f t="shared" si="0"/>
        <v>21600</v>
      </c>
      <c r="H4" s="1" t="str">
        <f t="shared" si="1"/>
        <v>January</v>
      </c>
      <c r="I4" s="1">
        <f t="shared" si="2"/>
        <v>2026</v>
      </c>
      <c r="J4" s="4">
        <v>0.15</v>
      </c>
      <c r="K4">
        <v>450000.75</v>
      </c>
    </row>
    <row r="5" spans="1:11" x14ac:dyDescent="0.25">
      <c r="A5" s="9">
        <v>46026</v>
      </c>
      <c r="B5" t="s">
        <v>10</v>
      </c>
      <c r="C5" t="s">
        <v>14</v>
      </c>
      <c r="D5" t="s">
        <v>22</v>
      </c>
      <c r="E5">
        <v>3</v>
      </c>
      <c r="F5">
        <v>3200</v>
      </c>
      <c r="G5" s="1">
        <f t="shared" si="0"/>
        <v>9600</v>
      </c>
      <c r="H5" s="1" t="str">
        <f t="shared" si="1"/>
        <v>January</v>
      </c>
      <c r="I5" s="1">
        <f t="shared" si="2"/>
        <v>2026</v>
      </c>
    </row>
    <row r="6" spans="1:11" x14ac:dyDescent="0.25">
      <c r="A6" s="9">
        <v>46027</v>
      </c>
      <c r="B6" t="s">
        <v>7</v>
      </c>
      <c r="C6" t="s">
        <v>15</v>
      </c>
      <c r="D6" t="s">
        <v>23</v>
      </c>
      <c r="E6">
        <v>10</v>
      </c>
      <c r="F6">
        <v>5000</v>
      </c>
      <c r="G6" s="1">
        <f t="shared" si="0"/>
        <v>50000</v>
      </c>
      <c r="H6" s="1" t="str">
        <f t="shared" si="1"/>
        <v>January</v>
      </c>
      <c r="I6" s="1">
        <f t="shared" si="2"/>
        <v>2026</v>
      </c>
    </row>
    <row r="7" spans="1:11" x14ac:dyDescent="0.25">
      <c r="A7" s="9">
        <v>46028</v>
      </c>
      <c r="B7" t="s">
        <v>8</v>
      </c>
      <c r="C7" t="s">
        <v>16</v>
      </c>
      <c r="D7" t="s">
        <v>19</v>
      </c>
      <c r="E7">
        <v>7</v>
      </c>
      <c r="F7">
        <v>2200</v>
      </c>
      <c r="G7" s="1">
        <f t="shared" si="0"/>
        <v>15400</v>
      </c>
      <c r="H7" s="1" t="str">
        <f t="shared" si="1"/>
        <v>January</v>
      </c>
      <c r="I7" s="1">
        <f t="shared" si="2"/>
        <v>2026</v>
      </c>
    </row>
    <row r="8" spans="1:11" x14ac:dyDescent="0.25">
      <c r="A8" s="9">
        <v>46029</v>
      </c>
      <c r="B8" t="s">
        <v>9</v>
      </c>
      <c r="C8" t="s">
        <v>17</v>
      </c>
      <c r="D8" t="s">
        <v>20</v>
      </c>
      <c r="E8">
        <v>15</v>
      </c>
      <c r="F8">
        <v>1700</v>
      </c>
      <c r="G8" s="1">
        <f t="shared" si="0"/>
        <v>25500</v>
      </c>
      <c r="H8" s="1" t="str">
        <f t="shared" si="1"/>
        <v>January</v>
      </c>
      <c r="I8" s="1">
        <f t="shared" si="2"/>
        <v>2026</v>
      </c>
    </row>
    <row r="9" spans="1:11" x14ac:dyDescent="0.25">
      <c r="A9" s="9">
        <v>46030</v>
      </c>
      <c r="B9" t="s">
        <v>10</v>
      </c>
      <c r="C9" t="s">
        <v>18</v>
      </c>
      <c r="D9" t="s">
        <v>21</v>
      </c>
      <c r="E9">
        <v>6</v>
      </c>
      <c r="F9">
        <v>2800</v>
      </c>
      <c r="G9" s="1">
        <f t="shared" si="0"/>
        <v>16800</v>
      </c>
      <c r="H9" s="1" t="str">
        <f t="shared" si="1"/>
        <v>January</v>
      </c>
      <c r="I9" s="1">
        <f t="shared" si="2"/>
        <v>2026</v>
      </c>
    </row>
    <row r="10" spans="1:11" x14ac:dyDescent="0.25">
      <c r="A10" s="9">
        <v>46031</v>
      </c>
      <c r="B10" t="s">
        <v>7</v>
      </c>
      <c r="C10" t="s">
        <v>11</v>
      </c>
      <c r="D10" t="s">
        <v>22</v>
      </c>
      <c r="E10">
        <v>9</v>
      </c>
      <c r="F10">
        <v>3500</v>
      </c>
      <c r="G10" s="1">
        <f t="shared" si="0"/>
        <v>31500</v>
      </c>
      <c r="H10" s="1" t="str">
        <f t="shared" si="1"/>
        <v>January</v>
      </c>
      <c r="I10" s="1">
        <f t="shared" si="2"/>
        <v>2026</v>
      </c>
    </row>
    <row r="11" spans="1:11" x14ac:dyDescent="0.25">
      <c r="A11" s="9">
        <v>46032</v>
      </c>
      <c r="B11" t="s">
        <v>8</v>
      </c>
      <c r="C11" t="s">
        <v>12</v>
      </c>
      <c r="D11" t="s">
        <v>23</v>
      </c>
      <c r="E11">
        <v>11</v>
      </c>
      <c r="F11">
        <v>4500</v>
      </c>
      <c r="G11" s="1">
        <f t="shared" si="0"/>
        <v>49500</v>
      </c>
      <c r="H11" s="1" t="str">
        <f t="shared" si="1"/>
        <v>January</v>
      </c>
      <c r="I11" s="1">
        <f t="shared" si="2"/>
        <v>2026</v>
      </c>
    </row>
    <row r="12" spans="1:11" x14ac:dyDescent="0.25">
      <c r="A12" s="9">
        <v>46033</v>
      </c>
      <c r="B12" t="s">
        <v>9</v>
      </c>
      <c r="C12" t="s">
        <v>13</v>
      </c>
      <c r="D12" t="s">
        <v>19</v>
      </c>
      <c r="E12">
        <v>4</v>
      </c>
      <c r="F12">
        <v>1600</v>
      </c>
      <c r="G12" s="1">
        <f t="shared" si="0"/>
        <v>6400</v>
      </c>
      <c r="H12" s="1" t="str">
        <f t="shared" si="1"/>
        <v>January</v>
      </c>
      <c r="I12" s="1">
        <f t="shared" si="2"/>
        <v>2026</v>
      </c>
    </row>
    <row r="13" spans="1:11" x14ac:dyDescent="0.25">
      <c r="A13" s="9">
        <v>46034</v>
      </c>
      <c r="B13" t="s">
        <v>10</v>
      </c>
      <c r="C13" t="s">
        <v>14</v>
      </c>
      <c r="D13" t="s">
        <v>20</v>
      </c>
      <c r="E13">
        <v>13</v>
      </c>
      <c r="F13">
        <v>3000</v>
      </c>
      <c r="G13" s="1">
        <f t="shared" si="0"/>
        <v>39000</v>
      </c>
      <c r="H13" s="1" t="str">
        <f t="shared" si="1"/>
        <v>January</v>
      </c>
      <c r="I13" s="1">
        <f t="shared" si="2"/>
        <v>2026</v>
      </c>
    </row>
    <row r="14" spans="1:11" x14ac:dyDescent="0.25">
      <c r="A14" s="9">
        <v>46035</v>
      </c>
      <c r="B14" t="s">
        <v>7</v>
      </c>
      <c r="C14" t="s">
        <v>15</v>
      </c>
      <c r="D14" t="s">
        <v>21</v>
      </c>
      <c r="E14">
        <v>8</v>
      </c>
      <c r="F14">
        <v>2400</v>
      </c>
      <c r="G14" s="1">
        <f t="shared" si="0"/>
        <v>19200</v>
      </c>
      <c r="H14" s="1" t="str">
        <f t="shared" si="1"/>
        <v>January</v>
      </c>
      <c r="I14" s="1">
        <f t="shared" si="2"/>
        <v>2026</v>
      </c>
    </row>
    <row r="15" spans="1:11" x14ac:dyDescent="0.25">
      <c r="A15" s="9">
        <v>46036</v>
      </c>
      <c r="B15" t="s">
        <v>8</v>
      </c>
      <c r="C15" t="s">
        <v>16</v>
      </c>
      <c r="D15" t="s">
        <v>22</v>
      </c>
      <c r="E15">
        <v>5</v>
      </c>
      <c r="F15">
        <v>1900</v>
      </c>
      <c r="G15" s="1">
        <f t="shared" si="0"/>
        <v>9500</v>
      </c>
      <c r="H15" s="1" t="str">
        <f t="shared" si="1"/>
        <v>January</v>
      </c>
      <c r="I15" s="1">
        <f t="shared" si="2"/>
        <v>2026</v>
      </c>
    </row>
    <row r="16" spans="1:11" x14ac:dyDescent="0.25">
      <c r="A16" s="9">
        <v>46037</v>
      </c>
      <c r="B16" t="s">
        <v>9</v>
      </c>
      <c r="C16" t="s">
        <v>17</v>
      </c>
      <c r="D16" t="s">
        <v>23</v>
      </c>
      <c r="E16">
        <v>16</v>
      </c>
      <c r="F16">
        <v>5200</v>
      </c>
      <c r="G16" s="1">
        <f t="shared" si="0"/>
        <v>83200</v>
      </c>
      <c r="H16" s="1" t="str">
        <f t="shared" si="1"/>
        <v>January</v>
      </c>
      <c r="I16" s="1">
        <f t="shared" si="2"/>
        <v>2026</v>
      </c>
    </row>
    <row r="17" spans="1:9" x14ac:dyDescent="0.25">
      <c r="A17" s="9">
        <v>46038</v>
      </c>
      <c r="B17" t="s">
        <v>10</v>
      </c>
      <c r="C17" t="s">
        <v>18</v>
      </c>
      <c r="D17" t="s">
        <v>19</v>
      </c>
      <c r="E17">
        <v>10</v>
      </c>
      <c r="F17">
        <v>2600</v>
      </c>
      <c r="G17" s="1">
        <f t="shared" si="0"/>
        <v>26000</v>
      </c>
      <c r="H17" s="1" t="str">
        <f t="shared" si="1"/>
        <v>January</v>
      </c>
      <c r="I17" s="1">
        <f t="shared" si="2"/>
        <v>2026</v>
      </c>
    </row>
    <row r="18" spans="1:9" x14ac:dyDescent="0.25">
      <c r="A18" s="9">
        <v>46039</v>
      </c>
      <c r="B18" t="s">
        <v>7</v>
      </c>
      <c r="C18" t="s">
        <v>11</v>
      </c>
      <c r="D18" t="s">
        <v>20</v>
      </c>
      <c r="E18">
        <v>7</v>
      </c>
      <c r="F18">
        <v>2100</v>
      </c>
      <c r="G18" s="1">
        <f t="shared" si="0"/>
        <v>14700</v>
      </c>
      <c r="H18" s="1" t="str">
        <f t="shared" si="1"/>
        <v>January</v>
      </c>
      <c r="I18" s="1">
        <f t="shared" si="2"/>
        <v>2026</v>
      </c>
    </row>
    <row r="19" spans="1:9" x14ac:dyDescent="0.25">
      <c r="A19" s="9">
        <v>46040</v>
      </c>
      <c r="B19" t="s">
        <v>8</v>
      </c>
      <c r="C19" t="s">
        <v>12</v>
      </c>
      <c r="D19" t="s">
        <v>21</v>
      </c>
      <c r="E19">
        <v>14</v>
      </c>
      <c r="F19">
        <v>3300</v>
      </c>
      <c r="G19" s="1">
        <f t="shared" si="0"/>
        <v>46200</v>
      </c>
      <c r="H19" s="1" t="str">
        <f t="shared" si="1"/>
        <v>January</v>
      </c>
      <c r="I19" s="1">
        <f t="shared" si="2"/>
        <v>2026</v>
      </c>
    </row>
    <row r="20" spans="1:9" x14ac:dyDescent="0.25">
      <c r="A20" s="9">
        <v>46041</v>
      </c>
      <c r="B20" t="s">
        <v>9</v>
      </c>
      <c r="C20" t="s">
        <v>13</v>
      </c>
      <c r="D20" t="s">
        <v>22</v>
      </c>
      <c r="E20">
        <v>9</v>
      </c>
      <c r="F20">
        <v>4000</v>
      </c>
      <c r="G20" s="1">
        <f t="shared" si="0"/>
        <v>36000</v>
      </c>
      <c r="H20" s="1" t="str">
        <f t="shared" si="1"/>
        <v>January</v>
      </c>
      <c r="I20" s="1">
        <f t="shared" si="2"/>
        <v>2026</v>
      </c>
    </row>
    <row r="21" spans="1:9" x14ac:dyDescent="0.25">
      <c r="A21" s="9">
        <v>46042</v>
      </c>
      <c r="B21" t="s">
        <v>10</v>
      </c>
      <c r="C21" t="s">
        <v>14</v>
      </c>
      <c r="D21" t="s">
        <v>23</v>
      </c>
      <c r="E21">
        <v>12</v>
      </c>
      <c r="F21">
        <v>4800</v>
      </c>
      <c r="G21" s="1">
        <f t="shared" si="0"/>
        <v>57600</v>
      </c>
      <c r="H21" s="1" t="str">
        <f t="shared" si="1"/>
        <v>January</v>
      </c>
      <c r="I21" s="1">
        <f t="shared" si="2"/>
        <v>2026</v>
      </c>
    </row>
    <row r="22" spans="1:9" x14ac:dyDescent="0.25">
      <c r="A22" s="9">
        <v>46043</v>
      </c>
      <c r="B22" t="s">
        <v>7</v>
      </c>
      <c r="C22" t="s">
        <v>15</v>
      </c>
      <c r="D22" t="s">
        <v>19</v>
      </c>
      <c r="E22">
        <v>6</v>
      </c>
      <c r="F22">
        <v>1400</v>
      </c>
      <c r="G22" s="1">
        <f t="shared" si="0"/>
        <v>8400</v>
      </c>
      <c r="H22" s="1" t="str">
        <f t="shared" si="1"/>
        <v>January</v>
      </c>
      <c r="I22" s="1">
        <f t="shared" si="2"/>
        <v>2026</v>
      </c>
    </row>
    <row r="23" spans="1:9" x14ac:dyDescent="0.25">
      <c r="A23" s="9">
        <v>46044</v>
      </c>
      <c r="B23" t="s">
        <v>8</v>
      </c>
      <c r="C23" t="s">
        <v>16</v>
      </c>
      <c r="D23" t="s">
        <v>20</v>
      </c>
      <c r="E23">
        <v>18</v>
      </c>
      <c r="F23">
        <v>2900</v>
      </c>
      <c r="G23" s="1">
        <f t="shared" si="0"/>
        <v>52200</v>
      </c>
      <c r="H23" s="1" t="str">
        <f t="shared" si="1"/>
        <v>January</v>
      </c>
      <c r="I23" s="1">
        <f t="shared" si="2"/>
        <v>2026</v>
      </c>
    </row>
    <row r="24" spans="1:9" x14ac:dyDescent="0.25">
      <c r="A24" s="9">
        <v>46045</v>
      </c>
      <c r="B24" t="s">
        <v>9</v>
      </c>
      <c r="C24" t="s">
        <v>17</v>
      </c>
      <c r="D24" t="s">
        <v>21</v>
      </c>
      <c r="E24">
        <v>11</v>
      </c>
      <c r="F24">
        <v>3600</v>
      </c>
      <c r="G24" s="1">
        <f t="shared" si="0"/>
        <v>39600</v>
      </c>
      <c r="H24" s="1" t="str">
        <f t="shared" si="1"/>
        <v>January</v>
      </c>
      <c r="I24" s="1">
        <f t="shared" si="2"/>
        <v>2026</v>
      </c>
    </row>
    <row r="25" spans="1:9" x14ac:dyDescent="0.25">
      <c r="A25" s="9">
        <v>46046</v>
      </c>
      <c r="B25" t="s">
        <v>10</v>
      </c>
      <c r="C25" t="s">
        <v>18</v>
      </c>
      <c r="D25" t="s">
        <v>22</v>
      </c>
      <c r="E25">
        <v>5</v>
      </c>
      <c r="F25">
        <v>5100</v>
      </c>
      <c r="G25" s="1">
        <f t="shared" si="0"/>
        <v>25500</v>
      </c>
      <c r="H25" s="1" t="str">
        <f t="shared" si="1"/>
        <v>January</v>
      </c>
      <c r="I25" s="1">
        <f t="shared" si="2"/>
        <v>2026</v>
      </c>
    </row>
    <row r="26" spans="1:9" x14ac:dyDescent="0.25">
      <c r="A26" s="9">
        <v>46047</v>
      </c>
      <c r="B26" t="s">
        <v>7</v>
      </c>
      <c r="C26" t="s">
        <v>11</v>
      </c>
      <c r="D26" t="s">
        <v>23</v>
      </c>
      <c r="E26">
        <v>20</v>
      </c>
      <c r="F26">
        <v>2300</v>
      </c>
      <c r="G26" s="1">
        <f t="shared" si="0"/>
        <v>46000</v>
      </c>
      <c r="H26" s="1" t="str">
        <f t="shared" si="1"/>
        <v>January</v>
      </c>
      <c r="I26" s="1">
        <f t="shared" si="2"/>
        <v>2026</v>
      </c>
    </row>
    <row r="27" spans="1:9" x14ac:dyDescent="0.25">
      <c r="A27" s="9">
        <v>46048</v>
      </c>
      <c r="B27" t="s">
        <v>8</v>
      </c>
      <c r="C27" t="s">
        <v>12</v>
      </c>
      <c r="D27" t="s">
        <v>19</v>
      </c>
      <c r="E27">
        <v>8</v>
      </c>
      <c r="F27">
        <v>1800</v>
      </c>
      <c r="G27" s="1">
        <f t="shared" si="0"/>
        <v>14400</v>
      </c>
      <c r="H27" s="1" t="str">
        <f t="shared" si="1"/>
        <v>January</v>
      </c>
      <c r="I27" s="1">
        <f t="shared" si="2"/>
        <v>2026</v>
      </c>
    </row>
    <row r="28" spans="1:9" x14ac:dyDescent="0.25">
      <c r="A28" s="9">
        <v>46049</v>
      </c>
      <c r="B28" t="s">
        <v>9</v>
      </c>
      <c r="C28" t="s">
        <v>13</v>
      </c>
      <c r="D28" t="s">
        <v>20</v>
      </c>
      <c r="E28">
        <v>13</v>
      </c>
      <c r="F28">
        <v>2700</v>
      </c>
      <c r="G28" s="1">
        <f t="shared" si="0"/>
        <v>35100</v>
      </c>
      <c r="H28" s="1" t="str">
        <f t="shared" si="1"/>
        <v>January</v>
      </c>
      <c r="I28" s="1">
        <f t="shared" si="2"/>
        <v>2026</v>
      </c>
    </row>
    <row r="29" spans="1:9" x14ac:dyDescent="0.25">
      <c r="A29" s="9">
        <v>46050</v>
      </c>
      <c r="B29" t="s">
        <v>10</v>
      </c>
      <c r="C29" t="s">
        <v>14</v>
      </c>
      <c r="D29" t="s">
        <v>21</v>
      </c>
      <c r="E29">
        <v>7</v>
      </c>
      <c r="F29">
        <v>3400</v>
      </c>
      <c r="G29" s="1">
        <f t="shared" si="0"/>
        <v>23800</v>
      </c>
      <c r="H29" s="1" t="str">
        <f t="shared" si="1"/>
        <v>January</v>
      </c>
      <c r="I29" s="1">
        <f t="shared" si="2"/>
        <v>2026</v>
      </c>
    </row>
    <row r="30" spans="1:9" x14ac:dyDescent="0.25">
      <c r="A30" s="9">
        <v>46051</v>
      </c>
      <c r="B30" t="s">
        <v>7</v>
      </c>
      <c r="C30" t="s">
        <v>15</v>
      </c>
      <c r="D30" t="s">
        <v>22</v>
      </c>
      <c r="E30">
        <v>15</v>
      </c>
      <c r="F30">
        <v>4600</v>
      </c>
      <c r="G30" s="1">
        <f t="shared" si="0"/>
        <v>69000</v>
      </c>
      <c r="H30" s="1" t="str">
        <f t="shared" si="1"/>
        <v>January</v>
      </c>
      <c r="I30" s="1">
        <f t="shared" si="2"/>
        <v>2026</v>
      </c>
    </row>
    <row r="31" spans="1:9" x14ac:dyDescent="0.25">
      <c r="A31" s="9">
        <v>46052</v>
      </c>
      <c r="B31" t="s">
        <v>8</v>
      </c>
      <c r="C31" t="s">
        <v>16</v>
      </c>
      <c r="D31" t="s">
        <v>23</v>
      </c>
      <c r="E31">
        <v>9</v>
      </c>
      <c r="F31">
        <v>2000</v>
      </c>
      <c r="G31" s="1">
        <f t="shared" si="0"/>
        <v>18000</v>
      </c>
      <c r="H31" s="1" t="str">
        <f t="shared" si="1"/>
        <v>January</v>
      </c>
      <c r="I31" s="1">
        <f t="shared" si="2"/>
        <v>2026</v>
      </c>
    </row>
    <row r="32" spans="1:9" x14ac:dyDescent="0.25">
      <c r="A32" s="9">
        <v>46053</v>
      </c>
      <c r="B32" t="s">
        <v>9</v>
      </c>
      <c r="C32" t="s">
        <v>17</v>
      </c>
      <c r="D32" t="s">
        <v>19</v>
      </c>
      <c r="E32">
        <v>10</v>
      </c>
      <c r="F32">
        <v>3100</v>
      </c>
      <c r="G32" s="1">
        <f t="shared" si="0"/>
        <v>31000</v>
      </c>
      <c r="H32" s="1" t="str">
        <f t="shared" si="1"/>
        <v>January</v>
      </c>
      <c r="I32" s="1">
        <f t="shared" si="2"/>
        <v>2026</v>
      </c>
    </row>
    <row r="33" spans="1:9" x14ac:dyDescent="0.25">
      <c r="A33" s="9">
        <v>46054</v>
      </c>
      <c r="B33" t="s">
        <v>10</v>
      </c>
      <c r="C33" t="s">
        <v>18</v>
      </c>
      <c r="D33" t="s">
        <v>20</v>
      </c>
      <c r="E33">
        <v>6</v>
      </c>
      <c r="F33">
        <v>1500</v>
      </c>
      <c r="G33" s="1">
        <f t="shared" si="0"/>
        <v>9000</v>
      </c>
      <c r="H33" s="1" t="str">
        <f t="shared" si="1"/>
        <v>February</v>
      </c>
      <c r="I33" s="1">
        <f t="shared" si="2"/>
        <v>2026</v>
      </c>
    </row>
    <row r="34" spans="1:9" x14ac:dyDescent="0.25">
      <c r="A34" s="9">
        <v>46055</v>
      </c>
      <c r="B34" t="s">
        <v>7</v>
      </c>
      <c r="C34" t="s">
        <v>11</v>
      </c>
      <c r="D34" t="s">
        <v>21</v>
      </c>
      <c r="E34">
        <v>17</v>
      </c>
      <c r="F34">
        <v>2500</v>
      </c>
      <c r="G34" s="1">
        <f t="shared" si="0"/>
        <v>42500</v>
      </c>
      <c r="H34" s="1" t="str">
        <f t="shared" si="1"/>
        <v>February</v>
      </c>
      <c r="I34" s="1">
        <f t="shared" si="2"/>
        <v>2026</v>
      </c>
    </row>
    <row r="35" spans="1:9" x14ac:dyDescent="0.25">
      <c r="A35" s="9">
        <v>46056</v>
      </c>
      <c r="B35" t="s">
        <v>8</v>
      </c>
      <c r="C35" t="s">
        <v>12</v>
      </c>
      <c r="D35" t="s">
        <v>22</v>
      </c>
      <c r="E35">
        <v>12</v>
      </c>
      <c r="F35">
        <v>3800</v>
      </c>
      <c r="G35" s="1">
        <f t="shared" si="0"/>
        <v>45600</v>
      </c>
      <c r="H35" s="1" t="str">
        <f t="shared" si="1"/>
        <v>February</v>
      </c>
      <c r="I35" s="1">
        <f t="shared" si="2"/>
        <v>2026</v>
      </c>
    </row>
    <row r="36" spans="1:9" x14ac:dyDescent="0.25">
      <c r="A36" s="9">
        <v>46057</v>
      </c>
      <c r="B36" t="s">
        <v>9</v>
      </c>
      <c r="C36" t="s">
        <v>13</v>
      </c>
      <c r="D36" t="s">
        <v>23</v>
      </c>
      <c r="E36">
        <v>8</v>
      </c>
      <c r="F36">
        <v>4200</v>
      </c>
      <c r="G36" s="1">
        <f t="shared" si="0"/>
        <v>33600</v>
      </c>
      <c r="H36" s="1" t="str">
        <f t="shared" si="1"/>
        <v>February</v>
      </c>
      <c r="I36" s="1">
        <f t="shared" si="2"/>
        <v>2026</v>
      </c>
    </row>
    <row r="37" spans="1:9" x14ac:dyDescent="0.25">
      <c r="A37" s="9">
        <v>46058</v>
      </c>
      <c r="B37" t="s">
        <v>10</v>
      </c>
      <c r="C37" t="s">
        <v>14</v>
      </c>
      <c r="D37" t="s">
        <v>19</v>
      </c>
      <c r="E37">
        <v>14</v>
      </c>
      <c r="F37">
        <v>1700</v>
      </c>
      <c r="G37" s="1">
        <f t="shared" si="0"/>
        <v>23800</v>
      </c>
      <c r="H37" s="1" t="str">
        <f t="shared" si="1"/>
        <v>February</v>
      </c>
      <c r="I37" s="1">
        <f t="shared" si="2"/>
        <v>2026</v>
      </c>
    </row>
    <row r="38" spans="1:9" x14ac:dyDescent="0.25">
      <c r="A38" s="9">
        <v>46059</v>
      </c>
      <c r="B38" t="s">
        <v>7</v>
      </c>
      <c r="C38" t="s">
        <v>15</v>
      </c>
      <c r="D38" t="s">
        <v>20</v>
      </c>
      <c r="E38">
        <v>5</v>
      </c>
      <c r="F38">
        <v>2800</v>
      </c>
      <c r="G38" s="1">
        <f t="shared" si="0"/>
        <v>14000</v>
      </c>
      <c r="H38" s="1" t="str">
        <f t="shared" si="1"/>
        <v>February</v>
      </c>
      <c r="I38" s="1">
        <f t="shared" si="2"/>
        <v>2026</v>
      </c>
    </row>
    <row r="39" spans="1:9" x14ac:dyDescent="0.25">
      <c r="A39" s="9">
        <v>46060</v>
      </c>
      <c r="B39" t="s">
        <v>8</v>
      </c>
      <c r="C39" t="s">
        <v>16</v>
      </c>
      <c r="D39" t="s">
        <v>21</v>
      </c>
      <c r="E39">
        <v>11</v>
      </c>
      <c r="F39">
        <v>5000</v>
      </c>
      <c r="G39" s="1">
        <f t="shared" si="0"/>
        <v>55000</v>
      </c>
      <c r="H39" s="1" t="str">
        <f t="shared" si="1"/>
        <v>February</v>
      </c>
      <c r="I39" s="1">
        <f t="shared" si="2"/>
        <v>2026</v>
      </c>
    </row>
    <row r="40" spans="1:9" x14ac:dyDescent="0.25">
      <c r="A40" s="9">
        <v>46061</v>
      </c>
      <c r="B40" t="s">
        <v>9</v>
      </c>
      <c r="C40" t="s">
        <v>17</v>
      </c>
      <c r="D40" t="s">
        <v>22</v>
      </c>
      <c r="E40">
        <v>16</v>
      </c>
      <c r="F40">
        <v>2200</v>
      </c>
      <c r="G40" s="1">
        <f t="shared" si="0"/>
        <v>35200</v>
      </c>
      <c r="H40" s="1" t="str">
        <f t="shared" si="1"/>
        <v>February</v>
      </c>
      <c r="I40" s="1">
        <f t="shared" si="2"/>
        <v>2026</v>
      </c>
    </row>
    <row r="41" spans="1:9" x14ac:dyDescent="0.25">
      <c r="A41" s="9">
        <v>46062</v>
      </c>
      <c r="B41" t="s">
        <v>10</v>
      </c>
      <c r="C41" t="s">
        <v>18</v>
      </c>
      <c r="D41" t="s">
        <v>23</v>
      </c>
      <c r="E41">
        <v>9</v>
      </c>
      <c r="F41">
        <v>3500</v>
      </c>
      <c r="G41" s="1">
        <f t="shared" si="0"/>
        <v>31500</v>
      </c>
      <c r="H41" s="1" t="str">
        <f t="shared" si="1"/>
        <v>February</v>
      </c>
      <c r="I41" s="1">
        <f t="shared" si="2"/>
        <v>2026</v>
      </c>
    </row>
    <row r="42" spans="1:9" x14ac:dyDescent="0.25">
      <c r="A42" s="9">
        <v>46063</v>
      </c>
      <c r="B42" t="s">
        <v>7</v>
      </c>
      <c r="C42" t="s">
        <v>11</v>
      </c>
      <c r="D42" t="s">
        <v>19</v>
      </c>
      <c r="E42">
        <v>7</v>
      </c>
      <c r="F42">
        <v>1900</v>
      </c>
      <c r="G42" s="1">
        <f t="shared" si="0"/>
        <v>13300</v>
      </c>
      <c r="H42" s="1" t="str">
        <f t="shared" si="1"/>
        <v>February</v>
      </c>
      <c r="I42" s="1">
        <f t="shared" si="2"/>
        <v>2026</v>
      </c>
    </row>
    <row r="43" spans="1:9" x14ac:dyDescent="0.25">
      <c r="A43" s="9">
        <v>46064</v>
      </c>
      <c r="B43" t="s">
        <v>8</v>
      </c>
      <c r="C43" t="s">
        <v>12</v>
      </c>
      <c r="D43" t="s">
        <v>20</v>
      </c>
      <c r="E43">
        <v>13</v>
      </c>
      <c r="F43">
        <v>3000</v>
      </c>
      <c r="G43" s="1">
        <f t="shared" si="0"/>
        <v>39000</v>
      </c>
      <c r="H43" s="1" t="str">
        <f t="shared" si="1"/>
        <v>February</v>
      </c>
      <c r="I43" s="1">
        <f t="shared" si="2"/>
        <v>2026</v>
      </c>
    </row>
    <row r="44" spans="1:9" x14ac:dyDescent="0.25">
      <c r="A44" s="9">
        <v>46065</v>
      </c>
      <c r="B44" t="s">
        <v>9</v>
      </c>
      <c r="C44" t="s">
        <v>13</v>
      </c>
      <c r="D44" t="s">
        <v>21</v>
      </c>
      <c r="E44">
        <v>10</v>
      </c>
      <c r="F44">
        <v>4500</v>
      </c>
      <c r="G44" s="1">
        <f t="shared" si="0"/>
        <v>45000</v>
      </c>
      <c r="H44" s="1" t="str">
        <f t="shared" si="1"/>
        <v>February</v>
      </c>
      <c r="I44" s="1">
        <f t="shared" si="2"/>
        <v>2026</v>
      </c>
    </row>
    <row r="45" spans="1:9" x14ac:dyDescent="0.25">
      <c r="A45" s="9">
        <v>46066</v>
      </c>
      <c r="B45" t="s">
        <v>10</v>
      </c>
      <c r="C45" t="s">
        <v>14</v>
      </c>
      <c r="D45" t="s">
        <v>22</v>
      </c>
      <c r="E45">
        <v>18</v>
      </c>
      <c r="F45">
        <v>1600</v>
      </c>
      <c r="G45" s="1">
        <f t="shared" si="0"/>
        <v>28800</v>
      </c>
      <c r="H45" s="1" t="str">
        <f t="shared" si="1"/>
        <v>February</v>
      </c>
      <c r="I45" s="1">
        <f t="shared" si="2"/>
        <v>2026</v>
      </c>
    </row>
    <row r="46" spans="1:9" x14ac:dyDescent="0.25">
      <c r="A46" s="9">
        <v>46067</v>
      </c>
      <c r="B46" t="s">
        <v>7</v>
      </c>
      <c r="C46" t="s">
        <v>15</v>
      </c>
      <c r="D46" t="s">
        <v>23</v>
      </c>
      <c r="E46">
        <v>6</v>
      </c>
      <c r="F46">
        <v>2600</v>
      </c>
      <c r="G46" s="1">
        <f t="shared" si="0"/>
        <v>15600</v>
      </c>
      <c r="H46" s="1" t="str">
        <f t="shared" si="1"/>
        <v>February</v>
      </c>
      <c r="I46" s="1">
        <f t="shared" si="2"/>
        <v>2026</v>
      </c>
    </row>
    <row r="47" spans="1:9" x14ac:dyDescent="0.25">
      <c r="A47" s="9">
        <v>46068</v>
      </c>
      <c r="B47" t="s">
        <v>8</v>
      </c>
      <c r="C47" t="s">
        <v>16</v>
      </c>
      <c r="D47" t="s">
        <v>19</v>
      </c>
      <c r="E47">
        <v>15</v>
      </c>
      <c r="F47">
        <v>3200</v>
      </c>
      <c r="G47" s="1">
        <f t="shared" si="0"/>
        <v>48000</v>
      </c>
      <c r="H47" s="1" t="str">
        <f t="shared" si="1"/>
        <v>February</v>
      </c>
      <c r="I47" s="1">
        <f t="shared" si="2"/>
        <v>2026</v>
      </c>
    </row>
    <row r="48" spans="1:9" x14ac:dyDescent="0.25">
      <c r="A48" s="9">
        <v>46069</v>
      </c>
      <c r="B48" t="s">
        <v>9</v>
      </c>
      <c r="C48" t="s">
        <v>17</v>
      </c>
      <c r="D48" t="s">
        <v>20</v>
      </c>
      <c r="E48">
        <v>8</v>
      </c>
      <c r="F48">
        <v>2100</v>
      </c>
      <c r="G48" s="1">
        <f t="shared" si="0"/>
        <v>16800</v>
      </c>
      <c r="H48" s="1" t="str">
        <f t="shared" si="1"/>
        <v>February</v>
      </c>
      <c r="I48" s="1">
        <f t="shared" si="2"/>
        <v>2026</v>
      </c>
    </row>
    <row r="49" spans="1:9" x14ac:dyDescent="0.25">
      <c r="A49" s="9">
        <v>46070</v>
      </c>
      <c r="B49" t="s">
        <v>10</v>
      </c>
      <c r="C49" t="s">
        <v>18</v>
      </c>
      <c r="D49" t="s">
        <v>21</v>
      </c>
      <c r="E49">
        <v>12</v>
      </c>
      <c r="F49">
        <v>4000</v>
      </c>
      <c r="G49" s="1">
        <f t="shared" si="0"/>
        <v>48000</v>
      </c>
      <c r="H49" s="1" t="str">
        <f t="shared" si="1"/>
        <v>February</v>
      </c>
      <c r="I49" s="1">
        <f t="shared" si="2"/>
        <v>2026</v>
      </c>
    </row>
    <row r="50" spans="1:9" x14ac:dyDescent="0.25">
      <c r="A50" s="9">
        <v>46071</v>
      </c>
      <c r="B50" t="s">
        <v>7</v>
      </c>
      <c r="C50" t="s">
        <v>11</v>
      </c>
      <c r="D50" t="s">
        <v>22</v>
      </c>
      <c r="E50">
        <v>9</v>
      </c>
      <c r="F50">
        <v>1800</v>
      </c>
      <c r="G50" s="1">
        <f t="shared" si="0"/>
        <v>16200</v>
      </c>
      <c r="H50" s="1" t="str">
        <f t="shared" si="1"/>
        <v>February</v>
      </c>
      <c r="I50" s="1">
        <f t="shared" si="2"/>
        <v>2026</v>
      </c>
    </row>
    <row r="51" spans="1:9" x14ac:dyDescent="0.25">
      <c r="A51" s="9">
        <v>46072</v>
      </c>
      <c r="B51" t="s">
        <v>8</v>
      </c>
      <c r="C51" t="s">
        <v>12</v>
      </c>
      <c r="D51" t="s">
        <v>23</v>
      </c>
      <c r="E51">
        <v>20</v>
      </c>
      <c r="F51">
        <v>5200</v>
      </c>
      <c r="G51" s="1">
        <f t="shared" si="0"/>
        <v>104000</v>
      </c>
      <c r="H51" s="1" t="str">
        <f t="shared" si="1"/>
        <v>February</v>
      </c>
      <c r="I51" s="1">
        <f t="shared" si="2"/>
        <v>2026</v>
      </c>
    </row>
    <row r="52" spans="1:9" x14ac:dyDescent="0.25">
      <c r="A52" s="9">
        <v>46073</v>
      </c>
      <c r="B52" t="s">
        <v>9</v>
      </c>
      <c r="C52" t="s">
        <v>13</v>
      </c>
      <c r="D52" t="s">
        <v>19</v>
      </c>
      <c r="E52">
        <v>5</v>
      </c>
      <c r="F52">
        <v>2400</v>
      </c>
      <c r="G52" s="1">
        <f t="shared" si="0"/>
        <v>12000</v>
      </c>
      <c r="H52" s="1" t="str">
        <f t="shared" si="1"/>
        <v>February</v>
      </c>
      <c r="I52" s="1">
        <f t="shared" si="2"/>
        <v>2026</v>
      </c>
    </row>
    <row r="53" spans="1:9" x14ac:dyDescent="0.25">
      <c r="A53" s="9">
        <v>46074</v>
      </c>
      <c r="B53" t="s">
        <v>10</v>
      </c>
      <c r="C53" t="s">
        <v>14</v>
      </c>
      <c r="D53" t="s">
        <v>20</v>
      </c>
      <c r="E53">
        <v>14</v>
      </c>
      <c r="F53">
        <v>2900</v>
      </c>
      <c r="G53" s="1">
        <f t="shared" si="0"/>
        <v>40600</v>
      </c>
      <c r="H53" s="1" t="str">
        <f t="shared" si="1"/>
        <v>February</v>
      </c>
      <c r="I53" s="1">
        <f t="shared" si="2"/>
        <v>2026</v>
      </c>
    </row>
    <row r="54" spans="1:9" x14ac:dyDescent="0.25">
      <c r="A54" s="9">
        <v>46075</v>
      </c>
      <c r="B54" t="s">
        <v>7</v>
      </c>
      <c r="C54" t="s">
        <v>15</v>
      </c>
      <c r="D54" t="s">
        <v>21</v>
      </c>
      <c r="E54">
        <v>11</v>
      </c>
      <c r="F54">
        <v>3600</v>
      </c>
      <c r="G54" s="1">
        <f t="shared" si="0"/>
        <v>39600</v>
      </c>
      <c r="H54" s="1" t="str">
        <f t="shared" si="1"/>
        <v>February</v>
      </c>
      <c r="I54" s="1">
        <f t="shared" si="2"/>
        <v>2026</v>
      </c>
    </row>
    <row r="55" spans="1:9" x14ac:dyDescent="0.25">
      <c r="A55" s="9">
        <v>46076</v>
      </c>
      <c r="B55" t="s">
        <v>8</v>
      </c>
      <c r="C55" t="s">
        <v>16</v>
      </c>
      <c r="D55" t="s">
        <v>22</v>
      </c>
      <c r="E55">
        <v>7</v>
      </c>
      <c r="F55">
        <v>1700</v>
      </c>
      <c r="G55" s="1">
        <f t="shared" si="0"/>
        <v>11900</v>
      </c>
      <c r="H55" s="1" t="str">
        <f t="shared" si="1"/>
        <v>February</v>
      </c>
      <c r="I55" s="1">
        <f t="shared" si="2"/>
        <v>2026</v>
      </c>
    </row>
    <row r="56" spans="1:9" x14ac:dyDescent="0.25">
      <c r="A56" s="9">
        <v>46077</v>
      </c>
      <c r="B56" t="s">
        <v>9</v>
      </c>
      <c r="C56" t="s">
        <v>17</v>
      </c>
      <c r="D56" t="s">
        <v>23</v>
      </c>
      <c r="E56">
        <v>16</v>
      </c>
      <c r="F56">
        <v>3300</v>
      </c>
      <c r="G56" s="1">
        <f t="shared" si="0"/>
        <v>52800</v>
      </c>
      <c r="H56" s="1" t="str">
        <f t="shared" si="1"/>
        <v>February</v>
      </c>
      <c r="I56" s="1">
        <f t="shared" si="2"/>
        <v>2026</v>
      </c>
    </row>
    <row r="57" spans="1:9" x14ac:dyDescent="0.25">
      <c r="A57" s="9">
        <v>46078</v>
      </c>
      <c r="B57" t="s">
        <v>10</v>
      </c>
      <c r="C57" t="s">
        <v>18</v>
      </c>
      <c r="D57" t="s">
        <v>19</v>
      </c>
      <c r="E57">
        <v>10</v>
      </c>
      <c r="F57">
        <v>5000</v>
      </c>
      <c r="G57" s="1">
        <f t="shared" si="0"/>
        <v>50000</v>
      </c>
      <c r="H57" s="1" t="str">
        <f t="shared" si="1"/>
        <v>February</v>
      </c>
      <c r="I57" s="1">
        <f t="shared" si="2"/>
        <v>2026</v>
      </c>
    </row>
    <row r="58" spans="1:9" x14ac:dyDescent="0.25">
      <c r="A58" s="9">
        <v>46079</v>
      </c>
      <c r="B58" t="s">
        <v>7</v>
      </c>
      <c r="C58" t="s">
        <v>11</v>
      </c>
      <c r="D58" t="s">
        <v>20</v>
      </c>
      <c r="E58">
        <v>13</v>
      </c>
      <c r="F58">
        <v>2200</v>
      </c>
      <c r="G58" s="1">
        <f t="shared" si="0"/>
        <v>28600</v>
      </c>
      <c r="H58" s="1" t="str">
        <f t="shared" si="1"/>
        <v>February</v>
      </c>
      <c r="I58" s="1">
        <f t="shared" si="2"/>
        <v>2026</v>
      </c>
    </row>
    <row r="59" spans="1:9" x14ac:dyDescent="0.25">
      <c r="A59" s="9">
        <v>46080</v>
      </c>
      <c r="B59" t="s">
        <v>8</v>
      </c>
      <c r="C59" t="s">
        <v>12</v>
      </c>
      <c r="D59" t="s">
        <v>21</v>
      </c>
      <c r="E59">
        <v>8</v>
      </c>
      <c r="F59">
        <v>3800</v>
      </c>
      <c r="G59" s="1">
        <f t="shared" si="0"/>
        <v>30400</v>
      </c>
      <c r="H59" s="1" t="str">
        <f t="shared" si="1"/>
        <v>February</v>
      </c>
      <c r="I59" s="1">
        <f t="shared" si="2"/>
        <v>2026</v>
      </c>
    </row>
    <row r="60" spans="1:9" x14ac:dyDescent="0.25">
      <c r="A60" s="9">
        <v>46081</v>
      </c>
      <c r="B60" t="s">
        <v>9</v>
      </c>
      <c r="C60" t="s">
        <v>13</v>
      </c>
      <c r="D60" t="s">
        <v>22</v>
      </c>
      <c r="E60">
        <v>15</v>
      </c>
      <c r="F60">
        <v>4500</v>
      </c>
      <c r="G60" s="1">
        <f t="shared" si="0"/>
        <v>67500</v>
      </c>
      <c r="H60" s="1" t="str">
        <f t="shared" si="1"/>
        <v>February</v>
      </c>
      <c r="I60" s="1">
        <f t="shared" si="2"/>
        <v>2026</v>
      </c>
    </row>
    <row r="61" spans="1:9" x14ac:dyDescent="0.25">
      <c r="A61" s="9">
        <v>46082</v>
      </c>
      <c r="B61" t="s">
        <v>10</v>
      </c>
      <c r="C61" t="s">
        <v>14</v>
      </c>
      <c r="D61" t="s">
        <v>23</v>
      </c>
      <c r="E61">
        <v>6</v>
      </c>
      <c r="F61">
        <v>2000</v>
      </c>
      <c r="G61" s="1">
        <f t="shared" si="0"/>
        <v>12000</v>
      </c>
      <c r="H61" s="1" t="str">
        <f t="shared" si="1"/>
        <v>March</v>
      </c>
      <c r="I61" s="1">
        <f t="shared" si="2"/>
        <v>2026</v>
      </c>
    </row>
    <row r="62" spans="1:9" x14ac:dyDescent="0.25">
      <c r="A62" s="9">
        <v>46083</v>
      </c>
      <c r="B62" t="s">
        <v>7</v>
      </c>
      <c r="C62" t="s">
        <v>15</v>
      </c>
      <c r="D62" t="s">
        <v>19</v>
      </c>
      <c r="E62">
        <v>12</v>
      </c>
      <c r="F62">
        <v>3100</v>
      </c>
      <c r="G62" s="1">
        <f t="shared" si="0"/>
        <v>37200</v>
      </c>
      <c r="H62" s="1" t="str">
        <f t="shared" si="1"/>
        <v>March</v>
      </c>
      <c r="I62" s="1">
        <f t="shared" si="2"/>
        <v>2026</v>
      </c>
    </row>
    <row r="63" spans="1:9" x14ac:dyDescent="0.25">
      <c r="A63" s="9">
        <v>46084</v>
      </c>
      <c r="B63" t="s">
        <v>8</v>
      </c>
      <c r="C63" t="s">
        <v>16</v>
      </c>
      <c r="D63" t="s">
        <v>20</v>
      </c>
      <c r="E63">
        <v>9</v>
      </c>
      <c r="F63">
        <v>1500</v>
      </c>
      <c r="G63" s="1">
        <f t="shared" si="0"/>
        <v>13500</v>
      </c>
      <c r="H63" s="1" t="str">
        <f t="shared" si="1"/>
        <v>March</v>
      </c>
      <c r="I63" s="1">
        <f t="shared" si="2"/>
        <v>2026</v>
      </c>
    </row>
    <row r="64" spans="1:9" x14ac:dyDescent="0.25">
      <c r="A64" s="9">
        <v>46085</v>
      </c>
      <c r="B64" t="s">
        <v>9</v>
      </c>
      <c r="C64" t="s">
        <v>17</v>
      </c>
      <c r="D64" t="s">
        <v>21</v>
      </c>
      <c r="E64">
        <v>17</v>
      </c>
      <c r="F64">
        <v>2700</v>
      </c>
      <c r="G64" s="1">
        <f t="shared" si="0"/>
        <v>45900</v>
      </c>
      <c r="H64" s="1" t="str">
        <f t="shared" si="1"/>
        <v>March</v>
      </c>
      <c r="I64" s="1">
        <f t="shared" si="2"/>
        <v>2026</v>
      </c>
    </row>
    <row r="65" spans="1:9" x14ac:dyDescent="0.25">
      <c r="A65" s="9">
        <v>46086</v>
      </c>
      <c r="B65" t="s">
        <v>10</v>
      </c>
      <c r="C65" t="s">
        <v>18</v>
      </c>
      <c r="D65" t="s">
        <v>22</v>
      </c>
      <c r="E65">
        <v>5</v>
      </c>
      <c r="F65">
        <v>4200</v>
      </c>
      <c r="G65" s="1">
        <f t="shared" si="0"/>
        <v>21000</v>
      </c>
      <c r="H65" s="1" t="str">
        <f t="shared" si="1"/>
        <v>March</v>
      </c>
      <c r="I65" s="1">
        <f t="shared" si="2"/>
        <v>2026</v>
      </c>
    </row>
    <row r="66" spans="1:9" x14ac:dyDescent="0.25">
      <c r="A66" s="9">
        <v>46087</v>
      </c>
      <c r="B66" t="s">
        <v>7</v>
      </c>
      <c r="C66" t="s">
        <v>11</v>
      </c>
      <c r="D66" t="s">
        <v>23</v>
      </c>
      <c r="E66">
        <v>14</v>
      </c>
      <c r="F66">
        <v>1800</v>
      </c>
      <c r="G66" s="1">
        <f t="shared" si="0"/>
        <v>25200</v>
      </c>
      <c r="H66" s="1" t="str">
        <f t="shared" si="1"/>
        <v>March</v>
      </c>
      <c r="I66" s="1">
        <f t="shared" si="2"/>
        <v>2026</v>
      </c>
    </row>
    <row r="67" spans="1:9" x14ac:dyDescent="0.25">
      <c r="A67" s="9">
        <v>46088</v>
      </c>
      <c r="B67" t="s">
        <v>8</v>
      </c>
      <c r="C67" t="s">
        <v>12</v>
      </c>
      <c r="D67" t="s">
        <v>19</v>
      </c>
      <c r="E67">
        <v>11</v>
      </c>
      <c r="F67">
        <v>3400</v>
      </c>
      <c r="G67" s="1">
        <f t="shared" ref="G67:G101" si="3">E67*F67</f>
        <v>37400</v>
      </c>
      <c r="H67" s="1" t="str">
        <f t="shared" ref="H67:H101" si="4">TEXT(A67,"mmmm")</f>
        <v>March</v>
      </c>
      <c r="I67" s="1">
        <f t="shared" ref="I67:I101" si="5">YEAR(A67)</f>
        <v>2026</v>
      </c>
    </row>
    <row r="68" spans="1:9" x14ac:dyDescent="0.25">
      <c r="A68" s="9">
        <v>46089</v>
      </c>
      <c r="B68" t="s">
        <v>9</v>
      </c>
      <c r="C68" t="s">
        <v>13</v>
      </c>
      <c r="D68" t="s">
        <v>20</v>
      </c>
      <c r="E68">
        <v>8</v>
      </c>
      <c r="F68">
        <v>5100</v>
      </c>
      <c r="G68" s="1">
        <f t="shared" si="3"/>
        <v>40800</v>
      </c>
      <c r="H68" s="1" t="str">
        <f t="shared" si="4"/>
        <v>March</v>
      </c>
      <c r="I68" s="1">
        <f t="shared" si="5"/>
        <v>2026</v>
      </c>
    </row>
    <row r="69" spans="1:9" x14ac:dyDescent="0.25">
      <c r="A69" s="9">
        <v>46090</v>
      </c>
      <c r="B69" t="s">
        <v>10</v>
      </c>
      <c r="C69" t="s">
        <v>14</v>
      </c>
      <c r="D69" t="s">
        <v>21</v>
      </c>
      <c r="E69">
        <v>16</v>
      </c>
      <c r="F69">
        <v>2300</v>
      </c>
      <c r="G69" s="1">
        <f t="shared" si="3"/>
        <v>36800</v>
      </c>
      <c r="H69" s="1" t="str">
        <f t="shared" si="4"/>
        <v>March</v>
      </c>
      <c r="I69" s="1">
        <f t="shared" si="5"/>
        <v>2026</v>
      </c>
    </row>
    <row r="70" spans="1:9" x14ac:dyDescent="0.25">
      <c r="A70" s="9">
        <v>46091</v>
      </c>
      <c r="B70" t="s">
        <v>7</v>
      </c>
      <c r="C70" t="s">
        <v>15</v>
      </c>
      <c r="D70" t="s">
        <v>22</v>
      </c>
      <c r="E70">
        <v>10</v>
      </c>
      <c r="F70">
        <v>2800</v>
      </c>
      <c r="G70" s="1">
        <f t="shared" si="3"/>
        <v>28000</v>
      </c>
      <c r="H70" s="1" t="str">
        <f t="shared" si="4"/>
        <v>March</v>
      </c>
      <c r="I70" s="1">
        <f t="shared" si="5"/>
        <v>2026</v>
      </c>
    </row>
    <row r="71" spans="1:9" x14ac:dyDescent="0.25">
      <c r="A71" s="9">
        <v>46092</v>
      </c>
      <c r="B71" t="s">
        <v>8</v>
      </c>
      <c r="C71" t="s">
        <v>16</v>
      </c>
      <c r="D71" t="s">
        <v>23</v>
      </c>
      <c r="E71">
        <v>7</v>
      </c>
      <c r="F71">
        <v>4000</v>
      </c>
      <c r="G71" s="1">
        <f t="shared" si="3"/>
        <v>28000</v>
      </c>
      <c r="H71" s="1" t="str">
        <f t="shared" si="4"/>
        <v>March</v>
      </c>
      <c r="I71" s="1">
        <f t="shared" si="5"/>
        <v>2026</v>
      </c>
    </row>
    <row r="72" spans="1:9" x14ac:dyDescent="0.25">
      <c r="A72" s="9">
        <v>46093</v>
      </c>
      <c r="B72" t="s">
        <v>9</v>
      </c>
      <c r="C72" t="s">
        <v>17</v>
      </c>
      <c r="D72" t="s">
        <v>19</v>
      </c>
      <c r="E72">
        <v>13</v>
      </c>
      <c r="F72">
        <v>1600</v>
      </c>
      <c r="G72" s="1">
        <f t="shared" si="3"/>
        <v>20800</v>
      </c>
      <c r="H72" s="1" t="str">
        <f t="shared" si="4"/>
        <v>March</v>
      </c>
      <c r="I72" s="1">
        <f t="shared" si="5"/>
        <v>2026</v>
      </c>
    </row>
    <row r="73" spans="1:9" x14ac:dyDescent="0.25">
      <c r="A73" s="9">
        <v>46094</v>
      </c>
      <c r="B73" t="s">
        <v>10</v>
      </c>
      <c r="C73" t="s">
        <v>18</v>
      </c>
      <c r="D73" t="s">
        <v>20</v>
      </c>
      <c r="E73">
        <v>18</v>
      </c>
      <c r="F73">
        <v>3000</v>
      </c>
      <c r="G73" s="1">
        <f t="shared" si="3"/>
        <v>54000</v>
      </c>
      <c r="H73" s="1" t="str">
        <f t="shared" si="4"/>
        <v>March</v>
      </c>
      <c r="I73" s="1">
        <f t="shared" si="5"/>
        <v>2026</v>
      </c>
    </row>
    <row r="74" spans="1:9" x14ac:dyDescent="0.25">
      <c r="A74" s="9">
        <v>46095</v>
      </c>
      <c r="B74" t="s">
        <v>7</v>
      </c>
      <c r="C74" t="s">
        <v>11</v>
      </c>
      <c r="D74" t="s">
        <v>21</v>
      </c>
      <c r="E74">
        <v>6</v>
      </c>
      <c r="F74">
        <v>4600</v>
      </c>
      <c r="G74" s="1">
        <f t="shared" si="3"/>
        <v>27600</v>
      </c>
      <c r="H74" s="1" t="str">
        <f t="shared" si="4"/>
        <v>March</v>
      </c>
      <c r="I74" s="1">
        <f t="shared" si="5"/>
        <v>2026</v>
      </c>
    </row>
    <row r="75" spans="1:9" x14ac:dyDescent="0.25">
      <c r="A75" s="9">
        <v>46096</v>
      </c>
      <c r="B75" t="s">
        <v>8</v>
      </c>
      <c r="C75" t="s">
        <v>12</v>
      </c>
      <c r="D75" t="s">
        <v>22</v>
      </c>
      <c r="E75">
        <v>15</v>
      </c>
      <c r="F75">
        <v>1900</v>
      </c>
      <c r="G75" s="1">
        <f t="shared" si="3"/>
        <v>28500</v>
      </c>
      <c r="H75" s="1" t="str">
        <f t="shared" si="4"/>
        <v>March</v>
      </c>
      <c r="I75" s="1">
        <f t="shared" si="5"/>
        <v>2026</v>
      </c>
    </row>
    <row r="76" spans="1:9" x14ac:dyDescent="0.25">
      <c r="A76" s="9">
        <v>46097</v>
      </c>
      <c r="B76" t="s">
        <v>9</v>
      </c>
      <c r="C76" t="s">
        <v>13</v>
      </c>
      <c r="D76" t="s">
        <v>23</v>
      </c>
      <c r="E76">
        <v>9</v>
      </c>
      <c r="F76">
        <v>2500</v>
      </c>
      <c r="G76" s="1">
        <f t="shared" si="3"/>
        <v>22500</v>
      </c>
      <c r="H76" s="1" t="str">
        <f t="shared" si="4"/>
        <v>March</v>
      </c>
      <c r="I76" s="1">
        <f t="shared" si="5"/>
        <v>2026</v>
      </c>
    </row>
    <row r="77" spans="1:9" x14ac:dyDescent="0.25">
      <c r="A77" s="9">
        <v>46098</v>
      </c>
      <c r="B77" t="s">
        <v>10</v>
      </c>
      <c r="C77" t="s">
        <v>14</v>
      </c>
      <c r="D77" t="s">
        <v>19</v>
      </c>
      <c r="E77">
        <v>12</v>
      </c>
      <c r="F77">
        <v>3500</v>
      </c>
      <c r="G77" s="1">
        <f t="shared" si="3"/>
        <v>42000</v>
      </c>
      <c r="H77" s="1" t="str">
        <f t="shared" si="4"/>
        <v>March</v>
      </c>
      <c r="I77" s="1">
        <f t="shared" si="5"/>
        <v>2026</v>
      </c>
    </row>
    <row r="78" spans="1:9" x14ac:dyDescent="0.25">
      <c r="A78" s="9">
        <v>46099</v>
      </c>
      <c r="B78" t="s">
        <v>7</v>
      </c>
      <c r="C78" t="s">
        <v>15</v>
      </c>
      <c r="D78" t="s">
        <v>20</v>
      </c>
      <c r="E78">
        <v>5</v>
      </c>
      <c r="F78">
        <v>2100</v>
      </c>
      <c r="G78" s="1">
        <f t="shared" si="3"/>
        <v>10500</v>
      </c>
      <c r="H78" s="1" t="str">
        <f t="shared" si="4"/>
        <v>March</v>
      </c>
      <c r="I78" s="1">
        <f t="shared" si="5"/>
        <v>2026</v>
      </c>
    </row>
    <row r="79" spans="1:9" x14ac:dyDescent="0.25">
      <c r="A79" s="9">
        <v>46100</v>
      </c>
      <c r="B79" t="s">
        <v>8</v>
      </c>
      <c r="C79" t="s">
        <v>16</v>
      </c>
      <c r="D79" t="s">
        <v>21</v>
      </c>
      <c r="E79">
        <v>14</v>
      </c>
      <c r="F79">
        <v>3200</v>
      </c>
      <c r="G79" s="1">
        <f t="shared" si="3"/>
        <v>44800</v>
      </c>
      <c r="H79" s="1" t="str">
        <f t="shared" si="4"/>
        <v>March</v>
      </c>
      <c r="I79" s="1">
        <f t="shared" si="5"/>
        <v>2026</v>
      </c>
    </row>
    <row r="80" spans="1:9" x14ac:dyDescent="0.25">
      <c r="A80" s="9">
        <v>46101</v>
      </c>
      <c r="B80" t="s">
        <v>9</v>
      </c>
      <c r="C80" t="s">
        <v>17</v>
      </c>
      <c r="D80" t="s">
        <v>22</v>
      </c>
      <c r="E80">
        <v>11</v>
      </c>
      <c r="F80">
        <v>4800</v>
      </c>
      <c r="G80" s="1">
        <f t="shared" si="3"/>
        <v>52800</v>
      </c>
      <c r="H80" s="1" t="str">
        <f t="shared" si="4"/>
        <v>March</v>
      </c>
      <c r="I80" s="1">
        <f t="shared" si="5"/>
        <v>2026</v>
      </c>
    </row>
    <row r="81" spans="1:9" x14ac:dyDescent="0.25">
      <c r="A81" s="9">
        <v>46102</v>
      </c>
      <c r="B81" t="s">
        <v>10</v>
      </c>
      <c r="C81" t="s">
        <v>18</v>
      </c>
      <c r="D81" t="s">
        <v>23</v>
      </c>
      <c r="E81">
        <v>8</v>
      </c>
      <c r="F81">
        <v>1700</v>
      </c>
      <c r="G81" s="1">
        <f t="shared" si="3"/>
        <v>13600</v>
      </c>
      <c r="H81" s="1" t="str">
        <f t="shared" si="4"/>
        <v>March</v>
      </c>
      <c r="I81" s="1">
        <f t="shared" si="5"/>
        <v>2026</v>
      </c>
    </row>
    <row r="82" spans="1:9" x14ac:dyDescent="0.25">
      <c r="A82" s="9">
        <v>46103</v>
      </c>
      <c r="B82" t="s">
        <v>7</v>
      </c>
      <c r="C82" t="s">
        <v>11</v>
      </c>
      <c r="D82" t="s">
        <v>19</v>
      </c>
      <c r="E82">
        <v>17</v>
      </c>
      <c r="F82">
        <v>2900</v>
      </c>
      <c r="G82" s="1">
        <f t="shared" si="3"/>
        <v>49300</v>
      </c>
      <c r="H82" s="1" t="str">
        <f t="shared" si="4"/>
        <v>March</v>
      </c>
      <c r="I82" s="1">
        <f t="shared" si="5"/>
        <v>2026</v>
      </c>
    </row>
    <row r="83" spans="1:9" x14ac:dyDescent="0.25">
      <c r="A83" s="9">
        <v>46104</v>
      </c>
      <c r="B83" t="s">
        <v>8</v>
      </c>
      <c r="C83" t="s">
        <v>12</v>
      </c>
      <c r="D83" t="s">
        <v>20</v>
      </c>
      <c r="E83">
        <v>10</v>
      </c>
      <c r="F83">
        <v>5000</v>
      </c>
      <c r="G83" s="1">
        <f t="shared" si="3"/>
        <v>50000</v>
      </c>
      <c r="H83" s="1" t="str">
        <f t="shared" si="4"/>
        <v>March</v>
      </c>
      <c r="I83" s="1">
        <f t="shared" si="5"/>
        <v>2026</v>
      </c>
    </row>
    <row r="84" spans="1:9" x14ac:dyDescent="0.25">
      <c r="A84" s="9">
        <v>46105</v>
      </c>
      <c r="B84" t="s">
        <v>9</v>
      </c>
      <c r="C84" t="s">
        <v>13</v>
      </c>
      <c r="D84" t="s">
        <v>21</v>
      </c>
      <c r="E84">
        <v>13</v>
      </c>
      <c r="F84">
        <v>2200</v>
      </c>
      <c r="G84" s="1">
        <f t="shared" si="3"/>
        <v>28600</v>
      </c>
      <c r="H84" s="1" t="str">
        <f t="shared" si="4"/>
        <v>March</v>
      </c>
      <c r="I84" s="1">
        <f t="shared" si="5"/>
        <v>2026</v>
      </c>
    </row>
    <row r="85" spans="1:9" x14ac:dyDescent="0.25">
      <c r="A85" s="9">
        <v>46106</v>
      </c>
      <c r="B85" t="s">
        <v>10</v>
      </c>
      <c r="C85" t="s">
        <v>14</v>
      </c>
      <c r="D85" t="s">
        <v>22</v>
      </c>
      <c r="E85">
        <v>7</v>
      </c>
      <c r="F85">
        <v>3600</v>
      </c>
      <c r="G85" s="1">
        <f t="shared" si="3"/>
        <v>25200</v>
      </c>
      <c r="H85" s="1" t="str">
        <f t="shared" si="4"/>
        <v>March</v>
      </c>
      <c r="I85" s="1">
        <f t="shared" si="5"/>
        <v>2026</v>
      </c>
    </row>
    <row r="86" spans="1:9" x14ac:dyDescent="0.25">
      <c r="A86" s="9">
        <v>46107</v>
      </c>
      <c r="B86" t="s">
        <v>7</v>
      </c>
      <c r="C86" t="s">
        <v>15</v>
      </c>
      <c r="D86" t="s">
        <v>23</v>
      </c>
      <c r="E86">
        <v>16</v>
      </c>
      <c r="F86">
        <v>4500</v>
      </c>
      <c r="G86" s="1">
        <f t="shared" si="3"/>
        <v>72000</v>
      </c>
      <c r="H86" s="1" t="str">
        <f t="shared" si="4"/>
        <v>March</v>
      </c>
      <c r="I86" s="1">
        <f t="shared" si="5"/>
        <v>2026</v>
      </c>
    </row>
    <row r="87" spans="1:9" x14ac:dyDescent="0.25">
      <c r="A87" s="9">
        <v>46108</v>
      </c>
      <c r="B87" t="s">
        <v>8</v>
      </c>
      <c r="C87" t="s">
        <v>16</v>
      </c>
      <c r="D87" t="s">
        <v>19</v>
      </c>
      <c r="E87">
        <v>9</v>
      </c>
      <c r="F87">
        <v>1800</v>
      </c>
      <c r="G87" s="1">
        <f t="shared" si="3"/>
        <v>16200</v>
      </c>
      <c r="H87" s="1" t="str">
        <f t="shared" si="4"/>
        <v>March</v>
      </c>
      <c r="I87" s="1">
        <f t="shared" si="5"/>
        <v>2026</v>
      </c>
    </row>
    <row r="88" spans="1:9" x14ac:dyDescent="0.25">
      <c r="A88" s="9">
        <v>46109</v>
      </c>
      <c r="B88" t="s">
        <v>9</v>
      </c>
      <c r="C88" t="s">
        <v>17</v>
      </c>
      <c r="D88" t="s">
        <v>20</v>
      </c>
      <c r="E88">
        <v>12</v>
      </c>
      <c r="F88">
        <v>3100</v>
      </c>
      <c r="G88" s="1">
        <f t="shared" si="3"/>
        <v>37200</v>
      </c>
      <c r="H88" s="1" t="str">
        <f t="shared" si="4"/>
        <v>March</v>
      </c>
      <c r="I88" s="1">
        <f t="shared" si="5"/>
        <v>2026</v>
      </c>
    </row>
    <row r="89" spans="1:9" x14ac:dyDescent="0.25">
      <c r="A89" s="9">
        <v>46110</v>
      </c>
      <c r="B89" t="s">
        <v>10</v>
      </c>
      <c r="C89" t="s">
        <v>18</v>
      </c>
      <c r="D89" t="s">
        <v>21</v>
      </c>
      <c r="E89">
        <v>6</v>
      </c>
      <c r="F89">
        <v>2400</v>
      </c>
      <c r="G89" s="1">
        <f t="shared" si="3"/>
        <v>14400</v>
      </c>
      <c r="H89" s="1" t="str">
        <f t="shared" si="4"/>
        <v>March</v>
      </c>
      <c r="I89" s="1">
        <f t="shared" si="5"/>
        <v>2026</v>
      </c>
    </row>
    <row r="90" spans="1:9" x14ac:dyDescent="0.25">
      <c r="A90" s="9">
        <v>46111</v>
      </c>
      <c r="B90" t="s">
        <v>7</v>
      </c>
      <c r="C90" t="s">
        <v>11</v>
      </c>
      <c r="D90" t="s">
        <v>22</v>
      </c>
      <c r="E90">
        <v>15</v>
      </c>
      <c r="F90">
        <v>3800</v>
      </c>
      <c r="G90" s="1">
        <f t="shared" si="3"/>
        <v>57000</v>
      </c>
      <c r="H90" s="1" t="str">
        <f t="shared" si="4"/>
        <v>March</v>
      </c>
      <c r="I90" s="1">
        <f t="shared" si="5"/>
        <v>2026</v>
      </c>
    </row>
    <row r="91" spans="1:9" x14ac:dyDescent="0.25">
      <c r="A91" s="9">
        <v>46112</v>
      </c>
      <c r="B91" t="s">
        <v>8</v>
      </c>
      <c r="C91" t="s">
        <v>12</v>
      </c>
      <c r="D91" t="s">
        <v>23</v>
      </c>
      <c r="E91">
        <v>8</v>
      </c>
      <c r="F91">
        <v>-354850</v>
      </c>
      <c r="G91" s="1">
        <f t="shared" si="3"/>
        <v>-2838800</v>
      </c>
      <c r="H91" s="1" t="str">
        <f t="shared" si="4"/>
        <v>March</v>
      </c>
      <c r="I91" s="1">
        <f t="shared" si="5"/>
        <v>2026</v>
      </c>
    </row>
    <row r="92" spans="1:9" x14ac:dyDescent="0.25">
      <c r="A92" s="9">
        <v>46113</v>
      </c>
      <c r="B92" t="s">
        <v>9</v>
      </c>
      <c r="C92" t="s">
        <v>13</v>
      </c>
      <c r="D92" t="s">
        <v>19</v>
      </c>
      <c r="E92">
        <v>20</v>
      </c>
      <c r="F92">
        <v>2000</v>
      </c>
      <c r="G92" s="1">
        <f t="shared" si="3"/>
        <v>40000</v>
      </c>
      <c r="H92" s="1" t="str">
        <f t="shared" si="4"/>
        <v>April</v>
      </c>
      <c r="I92" s="1">
        <f t="shared" si="5"/>
        <v>2026</v>
      </c>
    </row>
    <row r="93" spans="1:9" x14ac:dyDescent="0.25">
      <c r="A93" s="9">
        <v>46114</v>
      </c>
      <c r="B93" t="s">
        <v>10</v>
      </c>
      <c r="C93" t="s">
        <v>14</v>
      </c>
      <c r="D93" t="s">
        <v>20</v>
      </c>
      <c r="E93">
        <v>11</v>
      </c>
      <c r="F93">
        <v>3300</v>
      </c>
      <c r="G93" s="1">
        <f t="shared" si="3"/>
        <v>36300</v>
      </c>
      <c r="H93" s="1" t="str">
        <f t="shared" si="4"/>
        <v>April</v>
      </c>
      <c r="I93" s="1">
        <f t="shared" si="5"/>
        <v>2026</v>
      </c>
    </row>
    <row r="94" spans="1:9" x14ac:dyDescent="0.25">
      <c r="A94" s="9">
        <v>46115</v>
      </c>
      <c r="B94" t="s">
        <v>7</v>
      </c>
      <c r="C94" t="s">
        <v>15</v>
      </c>
      <c r="D94" t="s">
        <v>21</v>
      </c>
      <c r="E94">
        <v>5</v>
      </c>
      <c r="F94">
        <v>1500</v>
      </c>
      <c r="G94" s="1">
        <f t="shared" si="3"/>
        <v>7500</v>
      </c>
      <c r="H94" s="1" t="str">
        <f t="shared" si="4"/>
        <v>April</v>
      </c>
      <c r="I94" s="1">
        <f t="shared" si="5"/>
        <v>2026</v>
      </c>
    </row>
    <row r="95" spans="1:9" x14ac:dyDescent="0.25">
      <c r="A95" s="9">
        <v>46116</v>
      </c>
      <c r="B95" t="s">
        <v>8</v>
      </c>
      <c r="C95" t="s">
        <v>16</v>
      </c>
      <c r="D95" t="s">
        <v>22</v>
      </c>
      <c r="E95">
        <v>14</v>
      </c>
      <c r="F95">
        <v>2700</v>
      </c>
      <c r="G95" s="1">
        <f t="shared" si="3"/>
        <v>37800</v>
      </c>
      <c r="H95" s="1" t="str">
        <f t="shared" si="4"/>
        <v>April</v>
      </c>
      <c r="I95" s="1">
        <f t="shared" si="5"/>
        <v>2026</v>
      </c>
    </row>
    <row r="96" spans="1:9" x14ac:dyDescent="0.25">
      <c r="A96" s="9">
        <v>46117</v>
      </c>
      <c r="B96" t="s">
        <v>9</v>
      </c>
      <c r="C96" t="s">
        <v>17</v>
      </c>
      <c r="D96" t="s">
        <v>23</v>
      </c>
      <c r="E96">
        <v>10</v>
      </c>
      <c r="F96">
        <v>4200</v>
      </c>
      <c r="G96" s="1">
        <f t="shared" si="3"/>
        <v>42000</v>
      </c>
      <c r="H96" s="1" t="str">
        <f t="shared" si="4"/>
        <v>April</v>
      </c>
      <c r="I96" s="1">
        <f t="shared" si="5"/>
        <v>2026</v>
      </c>
    </row>
    <row r="97" spans="1:9" x14ac:dyDescent="0.25">
      <c r="A97" s="9">
        <v>46118</v>
      </c>
      <c r="B97" t="s">
        <v>10</v>
      </c>
      <c r="C97" t="s">
        <v>18</v>
      </c>
      <c r="D97" t="s">
        <v>19</v>
      </c>
      <c r="E97">
        <v>7</v>
      </c>
      <c r="F97">
        <v>1900</v>
      </c>
      <c r="G97" s="1">
        <f t="shared" si="3"/>
        <v>13300</v>
      </c>
      <c r="H97" s="1" t="str">
        <f t="shared" si="4"/>
        <v>April</v>
      </c>
      <c r="I97" s="1">
        <f t="shared" si="5"/>
        <v>2026</v>
      </c>
    </row>
    <row r="98" spans="1:9" x14ac:dyDescent="0.25">
      <c r="A98" s="9">
        <v>46119</v>
      </c>
      <c r="B98" t="s">
        <v>7</v>
      </c>
      <c r="C98" t="s">
        <v>11</v>
      </c>
      <c r="D98" t="s">
        <v>20</v>
      </c>
      <c r="E98">
        <v>13</v>
      </c>
      <c r="F98">
        <v>3400</v>
      </c>
      <c r="G98" s="1">
        <f t="shared" si="3"/>
        <v>44200</v>
      </c>
      <c r="H98" s="1" t="str">
        <f t="shared" si="4"/>
        <v>April</v>
      </c>
      <c r="I98" s="1">
        <f t="shared" si="5"/>
        <v>2026</v>
      </c>
    </row>
    <row r="99" spans="1:9" x14ac:dyDescent="0.25">
      <c r="A99" s="9">
        <v>46120</v>
      </c>
      <c r="B99" t="s">
        <v>8</v>
      </c>
      <c r="C99" t="s">
        <v>12</v>
      </c>
      <c r="D99" t="s">
        <v>20</v>
      </c>
      <c r="E99">
        <v>16</v>
      </c>
      <c r="F99">
        <v>5100</v>
      </c>
      <c r="G99" s="1">
        <f t="shared" si="3"/>
        <v>81600</v>
      </c>
      <c r="H99" s="1" t="str">
        <f t="shared" si="4"/>
        <v>April</v>
      </c>
      <c r="I99" s="1">
        <f t="shared" si="5"/>
        <v>2026</v>
      </c>
    </row>
    <row r="100" spans="1:9" x14ac:dyDescent="0.25">
      <c r="A100" s="9">
        <v>46121</v>
      </c>
      <c r="B100" t="s">
        <v>9</v>
      </c>
      <c r="C100" t="s">
        <v>13</v>
      </c>
      <c r="D100" t="s">
        <v>19</v>
      </c>
      <c r="E100">
        <v>9</v>
      </c>
      <c r="F100">
        <v>2300</v>
      </c>
      <c r="G100" s="1">
        <f t="shared" si="3"/>
        <v>20700</v>
      </c>
      <c r="H100" s="1" t="str">
        <f t="shared" si="4"/>
        <v>April</v>
      </c>
      <c r="I100" s="1">
        <f t="shared" si="5"/>
        <v>2026</v>
      </c>
    </row>
    <row r="101" spans="1:9" x14ac:dyDescent="0.25">
      <c r="A101" s="9">
        <v>46122</v>
      </c>
      <c r="B101" t="s">
        <v>10</v>
      </c>
      <c r="C101" t="s">
        <v>14</v>
      </c>
      <c r="D101" t="s">
        <v>20</v>
      </c>
      <c r="E101">
        <v>12</v>
      </c>
      <c r="F101">
        <v>2800</v>
      </c>
      <c r="G101" s="1">
        <f t="shared" si="3"/>
        <v>33600</v>
      </c>
      <c r="H101" s="1" t="str">
        <f t="shared" si="4"/>
        <v>April</v>
      </c>
      <c r="I101" s="1">
        <f t="shared" si="5"/>
        <v>2026</v>
      </c>
    </row>
    <row r="102" spans="1:9" x14ac:dyDescent="0.25">
      <c r="A102" s="9"/>
      <c r="G102" s="1">
        <f>SUM(G1:G101)</f>
        <v>500000</v>
      </c>
      <c r="H102" s="1"/>
      <c r="I102" s="1"/>
    </row>
    <row r="103" spans="1:9" x14ac:dyDescent="0.25">
      <c r="A103" s="9"/>
      <c r="G103" s="1"/>
      <c r="H103" s="1"/>
      <c r="I103" s="1"/>
    </row>
    <row r="104" spans="1:9" x14ac:dyDescent="0.25">
      <c r="A104" s="9"/>
      <c r="G104" s="1"/>
      <c r="H104" s="1"/>
      <c r="I104" s="1"/>
    </row>
    <row r="105" spans="1:9" x14ac:dyDescent="0.25">
      <c r="A105" s="9"/>
      <c r="G105" s="1"/>
      <c r="H105" s="1"/>
      <c r="I105" s="1"/>
    </row>
  </sheetData>
  <dataValidations count="2">
    <dataValidation type="list" allowBlank="1" showInputMessage="1" showErrorMessage="1" sqref="B1:B101">
      <formula1>"North,South,East,West"</formula1>
    </dataValidation>
    <dataValidation type="whole" operator="greaterThan" allowBlank="1" showInputMessage="1" showErrorMessage="1" sqref="E1:E101">
      <formula1>0</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1"/>
  <sheetViews>
    <sheetView workbookViewId="0">
      <selection activeCell="H5" sqref="H5"/>
    </sheetView>
  </sheetViews>
  <sheetFormatPr defaultRowHeight="15" x14ac:dyDescent="0.25"/>
  <cols>
    <col min="1" max="1" width="13.140625" customWidth="1"/>
    <col min="2" max="2" width="17.28515625" customWidth="1"/>
    <col min="3" max="3" width="7" customWidth="1"/>
    <col min="4" max="4" width="8.28515625" customWidth="1"/>
    <col min="5" max="5" width="7.140625" customWidth="1"/>
    <col min="6" max="6" width="8.7109375" customWidth="1"/>
    <col min="7" max="7" width="11.28515625" customWidth="1"/>
    <col min="8" max="8" width="11.28515625" bestFit="1" customWidth="1"/>
    <col min="10" max="10" width="13.140625" bestFit="1" customWidth="1"/>
    <col min="11" max="11" width="17.28515625" bestFit="1" customWidth="1"/>
  </cols>
  <sheetData>
    <row r="3" spans="1:11" x14ac:dyDescent="0.25">
      <c r="A3" s="5" t="s">
        <v>28</v>
      </c>
      <c r="B3" t="s">
        <v>30</v>
      </c>
      <c r="J3" s="5" t="s">
        <v>28</v>
      </c>
      <c r="K3" t="s">
        <v>30</v>
      </c>
    </row>
    <row r="4" spans="1:11" x14ac:dyDescent="0.25">
      <c r="A4" s="6" t="s">
        <v>21</v>
      </c>
      <c r="B4" s="7">
        <v>633300</v>
      </c>
      <c r="J4" s="6" t="s">
        <v>31</v>
      </c>
      <c r="K4" s="7">
        <v>990700</v>
      </c>
    </row>
    <row r="5" spans="1:11" x14ac:dyDescent="0.25">
      <c r="A5" s="6" t="s">
        <v>19</v>
      </c>
      <c r="B5" s="7">
        <v>575600</v>
      </c>
      <c r="J5" s="6" t="s">
        <v>41</v>
      </c>
      <c r="K5" s="7">
        <v>998300</v>
      </c>
    </row>
    <row r="6" spans="1:11" x14ac:dyDescent="0.25">
      <c r="A6" s="6" t="s">
        <v>22</v>
      </c>
      <c r="B6" s="7">
        <v>636600</v>
      </c>
      <c r="J6" s="6" t="s">
        <v>42</v>
      </c>
      <c r="K6" s="7">
        <v>-1846000</v>
      </c>
    </row>
    <row r="7" spans="1:11" x14ac:dyDescent="0.25">
      <c r="A7" s="6" t="s">
        <v>20</v>
      </c>
      <c r="B7" s="7">
        <v>736200</v>
      </c>
      <c r="J7" s="6" t="s">
        <v>43</v>
      </c>
      <c r="K7" s="7">
        <v>357000</v>
      </c>
    </row>
    <row r="8" spans="1:11" x14ac:dyDescent="0.25">
      <c r="A8" s="6" t="s">
        <v>23</v>
      </c>
      <c r="B8" s="7">
        <v>-2081700</v>
      </c>
      <c r="J8" s="6" t="s">
        <v>29</v>
      </c>
      <c r="K8" s="7">
        <v>500000</v>
      </c>
    </row>
    <row r="9" spans="1:11" x14ac:dyDescent="0.25">
      <c r="A9" s="6" t="s">
        <v>29</v>
      </c>
      <c r="B9" s="7">
        <v>500000</v>
      </c>
    </row>
    <row r="12" spans="1:11" x14ac:dyDescent="0.25">
      <c r="A12" s="5" t="s">
        <v>28</v>
      </c>
      <c r="B12" t="s">
        <v>30</v>
      </c>
    </row>
    <row r="13" spans="1:11" x14ac:dyDescent="0.25">
      <c r="A13" s="6" t="s">
        <v>17</v>
      </c>
      <c r="B13" s="7">
        <v>482800</v>
      </c>
    </row>
    <row r="14" spans="1:11" x14ac:dyDescent="0.25">
      <c r="A14" s="6" t="s">
        <v>11</v>
      </c>
      <c r="B14" s="7">
        <v>446100</v>
      </c>
    </row>
    <row r="15" spans="1:11" x14ac:dyDescent="0.25">
      <c r="A15" s="6" t="s">
        <v>13</v>
      </c>
      <c r="B15" s="7">
        <v>409800</v>
      </c>
    </row>
    <row r="16" spans="1:11" x14ac:dyDescent="0.25">
      <c r="A16" s="6" t="s">
        <v>14</v>
      </c>
      <c r="B16" s="7">
        <v>409100</v>
      </c>
    </row>
    <row r="17" spans="1:2" x14ac:dyDescent="0.25">
      <c r="A17" s="6" t="s">
        <v>15</v>
      </c>
      <c r="B17" s="7">
        <v>371000</v>
      </c>
    </row>
    <row r="18" spans="1:2" x14ac:dyDescent="0.25">
      <c r="A18" s="6" t="s">
        <v>16</v>
      </c>
      <c r="B18" s="7">
        <v>350300</v>
      </c>
    </row>
    <row r="19" spans="1:2" x14ac:dyDescent="0.25">
      <c r="A19" s="6" t="s">
        <v>18</v>
      </c>
      <c r="B19" s="7">
        <v>323100</v>
      </c>
    </row>
    <row r="20" spans="1:2" x14ac:dyDescent="0.25">
      <c r="A20" s="6" t="s">
        <v>12</v>
      </c>
      <c r="B20" s="7">
        <v>-2292200</v>
      </c>
    </row>
    <row r="21" spans="1:2" x14ac:dyDescent="0.25">
      <c r="A21" s="6" t="s">
        <v>29</v>
      </c>
      <c r="B21" s="7">
        <v>500000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4"/>
  <sheetViews>
    <sheetView showGridLines="0" tabSelected="1" zoomScale="52" workbookViewId="0">
      <selection activeCell="X28" sqref="X28"/>
    </sheetView>
  </sheetViews>
  <sheetFormatPr defaultRowHeight="15" x14ac:dyDescent="0.25"/>
  <sheetData>
    <row r="1" spans="1:25" x14ac:dyDescent="0.25">
      <c r="A1" s="19" t="s">
        <v>40</v>
      </c>
      <c r="B1" s="20"/>
      <c r="C1" s="20"/>
      <c r="D1" s="20"/>
      <c r="E1" s="20"/>
      <c r="F1" s="20"/>
      <c r="G1" s="20"/>
      <c r="H1" s="20"/>
      <c r="I1" s="12"/>
      <c r="J1" s="12"/>
      <c r="K1" s="12"/>
      <c r="L1" s="12"/>
      <c r="M1" s="12"/>
      <c r="N1" s="12"/>
      <c r="O1" s="12"/>
      <c r="P1" s="12"/>
      <c r="Q1" s="12"/>
      <c r="R1" s="12"/>
      <c r="S1" s="12"/>
      <c r="T1" s="12"/>
      <c r="U1" s="12"/>
      <c r="V1" s="12"/>
      <c r="W1" s="12"/>
      <c r="X1" s="12"/>
      <c r="Y1" s="13"/>
    </row>
    <row r="2" spans="1:25" x14ac:dyDescent="0.25">
      <c r="A2" s="21"/>
      <c r="B2" s="22"/>
      <c r="C2" s="22"/>
      <c r="D2" s="22"/>
      <c r="E2" s="22"/>
      <c r="F2" s="22"/>
      <c r="G2" s="22"/>
      <c r="H2" s="22"/>
      <c r="I2" s="11"/>
      <c r="J2" s="11"/>
      <c r="K2" s="11"/>
      <c r="L2" s="11"/>
      <c r="M2" s="11"/>
      <c r="N2" s="11"/>
      <c r="O2" s="11"/>
      <c r="P2" s="11"/>
      <c r="Q2" s="11"/>
      <c r="R2" s="11"/>
      <c r="S2" s="11"/>
      <c r="T2" s="11"/>
      <c r="U2" s="11"/>
      <c r="V2" s="11"/>
      <c r="W2" s="11"/>
      <c r="X2" s="11"/>
      <c r="Y2" s="14"/>
    </row>
    <row r="3" spans="1:25" x14ac:dyDescent="0.25">
      <c r="A3" s="15"/>
      <c r="B3" s="11"/>
      <c r="C3" s="11"/>
      <c r="D3" s="11"/>
      <c r="E3" s="11"/>
      <c r="F3" s="11"/>
      <c r="G3" s="11"/>
      <c r="H3" s="11"/>
      <c r="I3" s="11"/>
      <c r="J3" s="11"/>
      <c r="K3" s="11"/>
      <c r="L3" s="11"/>
      <c r="M3" s="11"/>
      <c r="N3" s="11"/>
      <c r="O3" s="11"/>
      <c r="P3" s="11"/>
      <c r="Q3" s="11"/>
      <c r="R3" s="11"/>
      <c r="S3" s="11"/>
      <c r="T3" s="11"/>
      <c r="U3" s="11"/>
      <c r="V3" s="11"/>
      <c r="W3" s="11"/>
      <c r="X3" s="11"/>
      <c r="Y3" s="14"/>
    </row>
    <row r="4" spans="1:25" x14ac:dyDescent="0.25">
      <c r="A4" s="15"/>
      <c r="B4" s="11"/>
      <c r="C4" s="11"/>
      <c r="D4" s="11"/>
      <c r="E4" s="11"/>
      <c r="F4" s="11"/>
      <c r="G4" s="11"/>
      <c r="H4" s="11"/>
      <c r="I4" s="11"/>
      <c r="J4" s="11"/>
      <c r="K4" s="11"/>
      <c r="L4" s="11"/>
      <c r="M4" s="11"/>
      <c r="N4" s="11"/>
      <c r="O4" s="11"/>
      <c r="P4" s="11"/>
      <c r="Q4" s="11"/>
      <c r="R4" s="11"/>
      <c r="S4" s="11"/>
      <c r="T4" s="11"/>
      <c r="U4" s="11"/>
      <c r="V4" s="11"/>
      <c r="W4" s="11"/>
      <c r="X4" s="11"/>
      <c r="Y4" s="14"/>
    </row>
    <row r="5" spans="1:25" x14ac:dyDescent="0.25">
      <c r="A5" s="15"/>
      <c r="B5" s="11"/>
      <c r="C5" s="11"/>
      <c r="D5" s="11"/>
      <c r="E5" s="11"/>
      <c r="F5" s="11"/>
      <c r="G5" s="11"/>
      <c r="H5" s="11"/>
      <c r="I5" s="11"/>
      <c r="J5" s="11"/>
      <c r="K5" s="11"/>
      <c r="L5" s="11"/>
      <c r="M5" s="11"/>
      <c r="N5" s="11"/>
      <c r="O5" s="11"/>
      <c r="P5" s="11"/>
      <c r="Q5" s="11"/>
      <c r="R5" s="11"/>
      <c r="S5" s="11"/>
      <c r="T5" s="11"/>
      <c r="U5" s="11"/>
      <c r="V5" s="11"/>
      <c r="W5" s="11"/>
      <c r="X5" s="11"/>
      <c r="Y5" s="14"/>
    </row>
    <row r="6" spans="1:25" x14ac:dyDescent="0.25">
      <c r="A6" s="15"/>
      <c r="B6" s="11"/>
      <c r="C6" s="11"/>
      <c r="D6" s="11"/>
      <c r="E6" s="11"/>
      <c r="F6" s="11"/>
      <c r="G6" s="11"/>
      <c r="H6" s="11"/>
      <c r="I6" s="11"/>
      <c r="J6" s="11"/>
      <c r="K6" s="11"/>
      <c r="L6" s="11"/>
      <c r="M6" s="11"/>
      <c r="N6" s="11"/>
      <c r="O6" s="11"/>
      <c r="P6" s="11"/>
      <c r="Q6" s="11"/>
      <c r="R6" s="11"/>
      <c r="S6" s="11"/>
      <c r="T6" s="11"/>
      <c r="U6" s="11"/>
      <c r="V6" s="11"/>
      <c r="W6" s="11"/>
      <c r="X6" s="11"/>
      <c r="Y6" s="14"/>
    </row>
    <row r="7" spans="1:25" x14ac:dyDescent="0.25">
      <c r="A7" s="15"/>
      <c r="B7" s="11"/>
      <c r="C7" s="11"/>
      <c r="D7" s="11"/>
      <c r="E7" s="11"/>
      <c r="F7" s="11"/>
      <c r="G7" s="11"/>
      <c r="H7" s="11"/>
      <c r="I7" s="11"/>
      <c r="J7" s="11"/>
      <c r="K7" s="11"/>
      <c r="L7" s="11"/>
      <c r="M7" s="11"/>
      <c r="N7" s="11"/>
      <c r="O7" s="11"/>
      <c r="P7" s="11"/>
      <c r="Q7" s="11"/>
      <c r="R7" s="11"/>
      <c r="S7" s="11"/>
      <c r="T7" s="11"/>
      <c r="U7" s="11"/>
      <c r="V7" s="11"/>
      <c r="W7" s="11"/>
      <c r="X7" s="11"/>
      <c r="Y7" s="14"/>
    </row>
    <row r="8" spans="1:25" x14ac:dyDescent="0.25">
      <c r="A8" s="15"/>
      <c r="B8" s="11"/>
      <c r="C8" s="11"/>
      <c r="D8" s="11"/>
      <c r="E8" s="11"/>
      <c r="F8" s="11"/>
      <c r="G8" s="11"/>
      <c r="H8" s="11"/>
      <c r="I8" s="11"/>
      <c r="J8" s="11"/>
      <c r="K8" s="11"/>
      <c r="L8" s="11"/>
      <c r="M8" s="11"/>
      <c r="N8" s="11"/>
      <c r="O8" s="11"/>
      <c r="P8" s="11"/>
      <c r="Q8" s="11"/>
      <c r="R8" s="11"/>
      <c r="S8" s="11"/>
      <c r="T8" s="11"/>
      <c r="U8" s="11"/>
      <c r="V8" s="11"/>
      <c r="W8" s="11"/>
      <c r="X8" s="11"/>
      <c r="Y8" s="14"/>
    </row>
    <row r="9" spans="1:25" x14ac:dyDescent="0.25">
      <c r="A9" s="15"/>
      <c r="B9" s="11"/>
      <c r="C9" s="11"/>
      <c r="D9" s="11"/>
      <c r="E9" s="11"/>
      <c r="F9" s="11"/>
      <c r="G9" s="11"/>
      <c r="H9" s="11"/>
      <c r="I9" s="11"/>
      <c r="J9" s="11"/>
      <c r="K9" s="11"/>
      <c r="L9" s="11"/>
      <c r="M9" s="11"/>
      <c r="N9" s="11"/>
      <c r="O9" s="11"/>
      <c r="P9" s="11"/>
      <c r="Q9" s="11"/>
      <c r="R9" s="11"/>
      <c r="S9" s="11"/>
      <c r="T9" s="11"/>
      <c r="U9" s="11"/>
      <c r="V9" s="11"/>
      <c r="W9" s="11"/>
      <c r="X9" s="11"/>
      <c r="Y9" s="14"/>
    </row>
    <row r="10" spans="1:25" x14ac:dyDescent="0.25">
      <c r="A10" s="15"/>
      <c r="B10" s="11"/>
      <c r="C10" s="11"/>
      <c r="D10" s="11"/>
      <c r="E10" s="11"/>
      <c r="F10" s="11"/>
      <c r="G10" s="11"/>
      <c r="H10" s="11"/>
      <c r="I10" s="11"/>
      <c r="J10" s="11"/>
      <c r="K10" s="11"/>
      <c r="L10" s="11"/>
      <c r="M10" s="11"/>
      <c r="N10" s="11"/>
      <c r="O10" s="11"/>
      <c r="P10" s="11"/>
      <c r="Q10" s="11"/>
      <c r="R10" s="11"/>
      <c r="S10" s="11"/>
      <c r="T10" s="11"/>
      <c r="U10" s="11"/>
      <c r="V10" s="11"/>
      <c r="W10" s="11"/>
      <c r="X10" s="11"/>
      <c r="Y10" s="14"/>
    </row>
    <row r="11" spans="1:25" x14ac:dyDescent="0.25">
      <c r="A11" s="15"/>
      <c r="B11" s="11"/>
      <c r="C11" s="11"/>
      <c r="D11" s="11"/>
      <c r="E11" s="11"/>
      <c r="F11" s="11"/>
      <c r="G11" s="11"/>
      <c r="H11" s="11"/>
      <c r="I11" s="11"/>
      <c r="J11" s="11"/>
      <c r="K11" s="11"/>
      <c r="L11" s="11"/>
      <c r="M11" s="11"/>
      <c r="N11" s="11"/>
      <c r="O11" s="11"/>
      <c r="P11" s="11"/>
      <c r="Q11" s="11"/>
      <c r="R11" s="11"/>
      <c r="S11" s="11"/>
      <c r="T11" s="11"/>
      <c r="U11" s="11"/>
      <c r="V11" s="11"/>
      <c r="W11" s="11"/>
      <c r="X11" s="11"/>
      <c r="Y11" s="14"/>
    </row>
    <row r="12" spans="1:25" x14ac:dyDescent="0.25">
      <c r="A12" s="15"/>
      <c r="B12" s="11"/>
      <c r="C12" s="11"/>
      <c r="D12" s="11"/>
      <c r="E12" s="11"/>
      <c r="F12" s="11"/>
      <c r="G12" s="11"/>
      <c r="H12" s="11"/>
      <c r="I12" s="11"/>
      <c r="J12" s="11"/>
      <c r="K12" s="11"/>
      <c r="L12" s="11"/>
      <c r="M12" s="11"/>
      <c r="N12" s="11"/>
      <c r="O12" s="11"/>
      <c r="P12" s="11"/>
      <c r="Q12" s="11"/>
      <c r="R12" s="11"/>
      <c r="S12" s="11"/>
      <c r="T12" s="11"/>
      <c r="U12" s="11"/>
      <c r="V12" s="11"/>
      <c r="W12" s="11"/>
      <c r="X12" s="11"/>
      <c r="Y12" s="14"/>
    </row>
    <row r="13" spans="1:25" x14ac:dyDescent="0.25">
      <c r="A13" s="15"/>
      <c r="B13" s="11"/>
      <c r="C13" s="11"/>
      <c r="D13" s="11"/>
      <c r="E13" s="11"/>
      <c r="F13" s="11"/>
      <c r="G13" s="11"/>
      <c r="H13" s="11"/>
      <c r="I13" s="11"/>
      <c r="J13" s="11"/>
      <c r="K13" s="11"/>
      <c r="L13" s="11"/>
      <c r="M13" s="11"/>
      <c r="N13" s="11"/>
      <c r="O13" s="11"/>
      <c r="P13" s="11"/>
      <c r="Q13" s="11"/>
      <c r="R13" s="11"/>
      <c r="S13" s="11"/>
      <c r="T13" s="11"/>
      <c r="U13" s="11"/>
      <c r="V13" s="11"/>
      <c r="W13" s="11"/>
      <c r="X13" s="11"/>
      <c r="Y13" s="14"/>
    </row>
    <row r="14" spans="1:25" x14ac:dyDescent="0.25">
      <c r="A14" s="15"/>
      <c r="B14" s="11"/>
      <c r="C14" s="11"/>
      <c r="D14" s="11"/>
      <c r="E14" s="11"/>
      <c r="F14" s="11"/>
      <c r="G14" s="11"/>
      <c r="H14" s="11"/>
      <c r="I14" s="11"/>
      <c r="J14" s="11"/>
      <c r="K14" s="11"/>
      <c r="L14" s="11"/>
      <c r="M14" s="11"/>
      <c r="N14" s="11"/>
      <c r="O14" s="11"/>
      <c r="P14" s="11"/>
      <c r="Q14" s="11"/>
      <c r="R14" s="11"/>
      <c r="S14" s="11"/>
      <c r="T14" s="11"/>
      <c r="U14" s="11"/>
      <c r="V14" s="11"/>
      <c r="W14" s="11"/>
      <c r="X14" s="11"/>
      <c r="Y14" s="14"/>
    </row>
    <row r="15" spans="1:25" x14ac:dyDescent="0.25">
      <c r="A15" s="15"/>
      <c r="B15" s="11"/>
      <c r="C15" s="11"/>
      <c r="D15" s="11"/>
      <c r="E15" s="11"/>
      <c r="F15" s="11"/>
      <c r="G15" s="11"/>
      <c r="H15" s="11"/>
      <c r="I15" s="11"/>
      <c r="J15" s="11"/>
      <c r="K15" s="11"/>
      <c r="L15" s="11"/>
      <c r="M15" s="11"/>
      <c r="N15" s="11"/>
      <c r="O15" s="11"/>
      <c r="P15" s="11"/>
      <c r="Q15" s="11"/>
      <c r="R15" s="11"/>
      <c r="S15" s="11"/>
      <c r="T15" s="11"/>
      <c r="U15" s="11"/>
      <c r="V15" s="11"/>
      <c r="W15" s="11"/>
      <c r="X15" s="11"/>
      <c r="Y15" s="14"/>
    </row>
    <row r="16" spans="1:25" x14ac:dyDescent="0.25">
      <c r="A16" s="15"/>
      <c r="B16" s="11"/>
      <c r="C16" s="11"/>
      <c r="D16" s="11"/>
      <c r="E16" s="11"/>
      <c r="F16" s="11"/>
      <c r="G16" s="11"/>
      <c r="H16" s="11"/>
      <c r="I16" s="11"/>
      <c r="J16" s="11"/>
      <c r="K16" s="11"/>
      <c r="L16" s="11"/>
      <c r="M16" s="11"/>
      <c r="N16" s="11"/>
      <c r="O16" s="11"/>
      <c r="P16" s="11"/>
      <c r="Q16" s="11"/>
      <c r="R16" s="11"/>
      <c r="S16" s="11"/>
      <c r="T16" s="11"/>
      <c r="U16" s="11"/>
      <c r="V16" s="11"/>
      <c r="W16" s="11"/>
      <c r="X16" s="11"/>
      <c r="Y16" s="14"/>
    </row>
    <row r="17" spans="1:25" x14ac:dyDescent="0.25">
      <c r="A17" s="15"/>
      <c r="B17" s="11"/>
      <c r="C17" s="11"/>
      <c r="D17" s="11"/>
      <c r="E17" s="11"/>
      <c r="F17" s="11"/>
      <c r="G17" s="11"/>
      <c r="H17" s="11"/>
      <c r="I17" s="11"/>
      <c r="J17" s="11"/>
      <c r="K17" s="11"/>
      <c r="L17" s="11"/>
      <c r="M17" s="11"/>
      <c r="N17" s="11"/>
      <c r="O17" s="11"/>
      <c r="P17" s="11"/>
      <c r="Q17" s="11"/>
      <c r="R17" s="11"/>
      <c r="S17" s="11"/>
      <c r="T17" s="11"/>
      <c r="U17" s="11"/>
      <c r="V17" s="11"/>
      <c r="W17" s="11"/>
      <c r="X17" s="11"/>
      <c r="Y17" s="14"/>
    </row>
    <row r="18" spans="1:25" x14ac:dyDescent="0.25">
      <c r="A18" s="15"/>
      <c r="B18" s="11"/>
      <c r="C18" s="11"/>
      <c r="D18" s="11"/>
      <c r="E18" s="11"/>
      <c r="F18" s="11"/>
      <c r="G18" s="11"/>
      <c r="H18" s="11"/>
      <c r="I18" s="11"/>
      <c r="J18" s="11"/>
      <c r="K18" s="11"/>
      <c r="L18" s="11"/>
      <c r="M18" s="11"/>
      <c r="N18" s="11"/>
      <c r="O18" s="11"/>
      <c r="P18" s="11"/>
      <c r="Q18" s="11"/>
      <c r="R18" s="11"/>
      <c r="S18" s="11"/>
      <c r="T18" s="11"/>
      <c r="U18" s="11"/>
      <c r="V18" s="11"/>
      <c r="W18" s="11"/>
      <c r="X18" s="11"/>
      <c r="Y18" s="14"/>
    </row>
    <row r="19" spans="1:25" x14ac:dyDescent="0.25">
      <c r="A19" s="15"/>
      <c r="B19" s="11"/>
      <c r="C19" s="11"/>
      <c r="D19" s="11"/>
      <c r="E19" s="11"/>
      <c r="F19" s="11"/>
      <c r="G19" s="11"/>
      <c r="H19" s="11"/>
      <c r="I19" s="11"/>
      <c r="J19" s="11"/>
      <c r="K19" s="11"/>
      <c r="L19" s="11"/>
      <c r="M19" s="11"/>
      <c r="N19" s="11"/>
      <c r="O19" s="11"/>
      <c r="P19" s="11"/>
      <c r="Q19" s="11"/>
      <c r="R19" s="11"/>
      <c r="S19" s="11"/>
      <c r="T19" s="11"/>
      <c r="U19" s="11"/>
      <c r="V19" s="11"/>
      <c r="W19" s="11"/>
      <c r="X19" s="11"/>
      <c r="Y19" s="14"/>
    </row>
    <row r="20" spans="1:25" x14ac:dyDescent="0.25">
      <c r="A20" s="15"/>
      <c r="B20" s="11"/>
      <c r="C20" s="11"/>
      <c r="D20" s="11"/>
      <c r="E20" s="11"/>
      <c r="F20" s="11"/>
      <c r="G20" s="11"/>
      <c r="H20" s="11"/>
      <c r="I20" s="11"/>
      <c r="J20" s="11"/>
      <c r="K20" s="11"/>
      <c r="L20" s="11"/>
      <c r="M20" s="11"/>
      <c r="N20" s="11"/>
      <c r="O20" s="11"/>
      <c r="P20" s="11"/>
      <c r="Q20" s="11"/>
      <c r="R20" s="11"/>
      <c r="S20" s="11"/>
      <c r="T20" s="11"/>
      <c r="U20" s="11"/>
      <c r="V20" s="11"/>
      <c r="W20" s="11"/>
      <c r="X20" s="11"/>
      <c r="Y20" s="14"/>
    </row>
    <row r="21" spans="1:25" x14ac:dyDescent="0.25">
      <c r="A21" s="15"/>
      <c r="B21" s="11"/>
      <c r="C21" s="11"/>
      <c r="D21" s="11"/>
      <c r="E21" s="11"/>
      <c r="F21" s="11"/>
      <c r="G21" s="11"/>
      <c r="H21" s="11"/>
      <c r="I21" s="11"/>
      <c r="J21" s="11"/>
      <c r="K21" s="11"/>
      <c r="L21" s="11"/>
      <c r="M21" s="11"/>
      <c r="N21" s="11"/>
      <c r="O21" s="11"/>
      <c r="P21" s="11"/>
      <c r="Q21" s="11"/>
      <c r="R21" s="11"/>
      <c r="S21" s="11"/>
      <c r="T21" s="11"/>
      <c r="U21" s="11"/>
      <c r="V21" s="11"/>
      <c r="W21" s="11"/>
      <c r="X21" s="11"/>
      <c r="Y21" s="14"/>
    </row>
    <row r="22" spans="1:25" x14ac:dyDescent="0.25">
      <c r="A22" s="15"/>
      <c r="B22" s="11"/>
      <c r="C22" s="11"/>
      <c r="D22" s="11"/>
      <c r="E22" s="11"/>
      <c r="F22" s="11"/>
      <c r="G22" s="11"/>
      <c r="H22" s="11"/>
      <c r="I22" s="11"/>
      <c r="J22" s="11"/>
      <c r="K22" s="11"/>
      <c r="L22" s="11"/>
      <c r="M22" s="11"/>
      <c r="N22" s="11"/>
      <c r="O22" s="11"/>
      <c r="P22" s="11"/>
      <c r="Q22" s="11"/>
      <c r="R22" s="11"/>
      <c r="S22" s="11"/>
      <c r="T22" s="11"/>
      <c r="U22" s="11"/>
      <c r="V22" s="11"/>
      <c r="W22" s="11"/>
      <c r="X22" s="11"/>
      <c r="Y22" s="14"/>
    </row>
    <row r="23" spans="1:25" x14ac:dyDescent="0.25">
      <c r="A23" s="15"/>
      <c r="B23" s="11"/>
      <c r="C23" s="11"/>
      <c r="D23" s="11"/>
      <c r="E23" s="11"/>
      <c r="F23" s="11"/>
      <c r="G23" s="11"/>
      <c r="H23" s="11"/>
      <c r="I23" s="11"/>
      <c r="J23" s="11"/>
      <c r="K23" s="11"/>
      <c r="L23" s="11"/>
      <c r="M23" s="11"/>
      <c r="N23" s="11"/>
      <c r="O23" s="11"/>
      <c r="P23" s="11"/>
      <c r="Q23" s="11"/>
      <c r="R23" s="11"/>
      <c r="S23" s="11"/>
      <c r="T23" s="11"/>
      <c r="U23" s="11"/>
      <c r="V23" s="11"/>
      <c r="W23" s="11"/>
      <c r="X23" s="11"/>
      <c r="Y23" s="14"/>
    </row>
    <row r="24" spans="1:25" x14ac:dyDescent="0.25">
      <c r="A24" s="15"/>
      <c r="B24" s="11"/>
      <c r="C24" s="11"/>
      <c r="D24" s="11"/>
      <c r="E24" s="11"/>
      <c r="F24" s="11"/>
      <c r="G24" s="11"/>
      <c r="H24" s="11"/>
      <c r="I24" s="11"/>
      <c r="J24" s="11"/>
      <c r="K24" s="11"/>
      <c r="L24" s="11"/>
      <c r="M24" s="11"/>
      <c r="N24" s="11"/>
      <c r="O24" s="11"/>
      <c r="P24" s="11"/>
      <c r="Q24" s="11"/>
      <c r="R24" s="11"/>
      <c r="S24" s="11"/>
      <c r="T24" s="11"/>
      <c r="U24" s="11"/>
      <c r="V24" s="11"/>
      <c r="W24" s="11"/>
      <c r="X24" s="11"/>
      <c r="Y24" s="14"/>
    </row>
    <row r="25" spans="1:25" x14ac:dyDescent="0.25">
      <c r="A25" s="15"/>
      <c r="B25" s="11"/>
      <c r="C25" s="11"/>
      <c r="D25" s="11"/>
      <c r="E25" s="11"/>
      <c r="F25" s="11"/>
      <c r="G25" s="11"/>
      <c r="H25" s="11"/>
      <c r="I25" s="11"/>
      <c r="J25" s="11"/>
      <c r="K25" s="11"/>
      <c r="L25" s="11"/>
      <c r="M25" s="11"/>
      <c r="N25" s="11"/>
      <c r="O25" s="11"/>
      <c r="P25" s="11"/>
      <c r="Q25" s="11"/>
      <c r="R25" s="11"/>
      <c r="S25" s="11"/>
      <c r="T25" s="11"/>
      <c r="U25" s="11"/>
      <c r="V25" s="11"/>
      <c r="W25" s="11"/>
      <c r="X25" s="11"/>
      <c r="Y25" s="14"/>
    </row>
    <row r="26" spans="1:25" x14ac:dyDescent="0.25">
      <c r="A26" s="15"/>
      <c r="B26" s="11"/>
      <c r="C26" s="11"/>
      <c r="D26" s="11"/>
      <c r="E26" s="11"/>
      <c r="F26" s="11"/>
      <c r="G26" s="11"/>
      <c r="H26" s="11"/>
      <c r="I26" s="11"/>
      <c r="J26" s="11"/>
      <c r="K26" s="11"/>
      <c r="L26" s="11"/>
      <c r="M26" s="11"/>
      <c r="N26" s="11"/>
      <c r="O26" s="11"/>
      <c r="P26" s="11"/>
      <c r="Q26" s="11"/>
      <c r="R26" s="11"/>
      <c r="S26" s="11"/>
      <c r="T26" s="11"/>
      <c r="U26" s="11"/>
      <c r="V26" s="11"/>
      <c r="W26" s="11"/>
      <c r="X26" s="11"/>
      <c r="Y26" s="14"/>
    </row>
    <row r="27" spans="1:25" x14ac:dyDescent="0.25">
      <c r="A27" s="15"/>
      <c r="B27" s="11"/>
      <c r="C27" s="11"/>
      <c r="D27" s="11"/>
      <c r="E27" s="11"/>
      <c r="F27" s="11"/>
      <c r="G27" s="11"/>
      <c r="H27" s="11"/>
      <c r="I27" s="11"/>
      <c r="J27" s="11"/>
      <c r="K27" s="11"/>
      <c r="L27" s="11"/>
      <c r="M27" s="11"/>
      <c r="N27" s="11"/>
      <c r="O27" s="11"/>
      <c r="P27" s="11"/>
      <c r="Q27" s="11"/>
      <c r="R27" s="11"/>
      <c r="S27" s="11"/>
      <c r="T27" s="11"/>
      <c r="U27" s="11"/>
      <c r="V27" s="11"/>
      <c r="W27" s="11"/>
      <c r="X27" s="11"/>
      <c r="Y27" s="14"/>
    </row>
    <row r="28" spans="1:25" x14ac:dyDescent="0.25">
      <c r="A28" s="15"/>
      <c r="B28" s="11"/>
      <c r="C28" s="11"/>
      <c r="D28" s="11"/>
      <c r="E28" s="11"/>
      <c r="F28" s="11"/>
      <c r="G28" s="11"/>
      <c r="H28" s="11"/>
      <c r="I28" s="11"/>
      <c r="J28" s="11"/>
      <c r="K28" s="11"/>
      <c r="L28" s="11"/>
      <c r="M28" s="11"/>
      <c r="N28" s="11"/>
      <c r="O28" s="11"/>
      <c r="P28" s="11"/>
      <c r="Q28" s="11"/>
      <c r="R28" s="11"/>
      <c r="S28" s="11"/>
      <c r="T28" s="11"/>
      <c r="U28" s="11"/>
      <c r="V28" s="11"/>
      <c r="W28" s="11"/>
      <c r="X28" s="11"/>
      <c r="Y28" s="14"/>
    </row>
    <row r="29" spans="1:25" x14ac:dyDescent="0.25">
      <c r="A29" s="15"/>
      <c r="B29" s="11"/>
      <c r="C29" s="11"/>
      <c r="D29" s="11"/>
      <c r="E29" s="11"/>
      <c r="F29" s="11"/>
      <c r="G29" s="11"/>
      <c r="H29" s="11"/>
      <c r="I29" s="11"/>
      <c r="J29" s="11"/>
      <c r="K29" s="11"/>
      <c r="L29" s="11"/>
      <c r="M29" s="11"/>
      <c r="N29" s="11"/>
      <c r="O29" s="11"/>
      <c r="P29" s="11"/>
      <c r="Q29" s="11"/>
      <c r="R29" s="11"/>
      <c r="S29" s="11"/>
      <c r="T29" s="11"/>
      <c r="U29" s="11"/>
      <c r="V29" s="11"/>
      <c r="W29" s="11"/>
      <c r="X29" s="11"/>
      <c r="Y29" s="14"/>
    </row>
    <row r="30" spans="1:25" x14ac:dyDescent="0.25">
      <c r="A30" s="15"/>
      <c r="B30" s="11"/>
      <c r="C30" s="11"/>
      <c r="D30" s="11"/>
      <c r="E30" s="11"/>
      <c r="F30" s="11"/>
      <c r="G30" s="11"/>
      <c r="H30" s="11"/>
      <c r="I30" s="11"/>
      <c r="J30" s="11"/>
      <c r="K30" s="11"/>
      <c r="L30" s="11"/>
      <c r="M30" s="11"/>
      <c r="N30" s="11"/>
      <c r="O30" s="11"/>
      <c r="P30" s="11"/>
      <c r="Q30" s="11"/>
      <c r="R30" s="11"/>
      <c r="S30" s="11"/>
      <c r="T30" s="11"/>
      <c r="U30" s="11"/>
      <c r="V30" s="11"/>
      <c r="W30" s="11"/>
      <c r="X30" s="11"/>
      <c r="Y30" s="14"/>
    </row>
    <row r="31" spans="1:25" x14ac:dyDescent="0.25">
      <c r="A31" s="15"/>
      <c r="B31" s="11"/>
      <c r="C31" s="11"/>
      <c r="D31" s="11"/>
      <c r="E31" s="11"/>
      <c r="F31" s="11"/>
      <c r="G31" s="11"/>
      <c r="H31" s="11"/>
      <c r="I31" s="11"/>
      <c r="J31" s="11"/>
      <c r="K31" s="11"/>
      <c r="L31" s="11"/>
      <c r="M31" s="11"/>
      <c r="N31" s="11"/>
      <c r="O31" s="11"/>
      <c r="P31" s="11"/>
      <c r="Q31" s="11"/>
      <c r="R31" s="11"/>
      <c r="S31" s="11"/>
      <c r="T31" s="11"/>
      <c r="U31" s="11"/>
      <c r="V31" s="11"/>
      <c r="W31" s="11"/>
      <c r="X31" s="11"/>
      <c r="Y31" s="14"/>
    </row>
    <row r="32" spans="1:25" x14ac:dyDescent="0.25">
      <c r="A32" s="15"/>
      <c r="B32" s="11"/>
      <c r="C32" s="11"/>
      <c r="D32" s="11"/>
      <c r="E32" s="11"/>
      <c r="F32" s="11"/>
      <c r="G32" s="11"/>
      <c r="H32" s="11"/>
      <c r="I32" s="11"/>
      <c r="J32" s="11"/>
      <c r="K32" s="11"/>
      <c r="L32" s="11"/>
      <c r="M32" s="11"/>
      <c r="N32" s="11"/>
      <c r="O32" s="11"/>
      <c r="P32" s="11"/>
      <c r="Q32" s="11"/>
      <c r="R32" s="11"/>
      <c r="S32" s="11"/>
      <c r="T32" s="11"/>
      <c r="U32" s="11"/>
      <c r="V32" s="11"/>
      <c r="W32" s="11"/>
      <c r="X32" s="11"/>
      <c r="Y32" s="14"/>
    </row>
    <row r="33" spans="1:25" x14ac:dyDescent="0.25">
      <c r="A33" s="15"/>
      <c r="B33" s="11"/>
      <c r="C33" s="11"/>
      <c r="D33" s="11"/>
      <c r="E33" s="11"/>
      <c r="F33" s="11"/>
      <c r="G33" s="11"/>
      <c r="H33" s="11"/>
      <c r="I33" s="11"/>
      <c r="J33" s="11"/>
      <c r="K33" s="11"/>
      <c r="L33" s="11"/>
      <c r="M33" s="11"/>
      <c r="N33" s="11"/>
      <c r="O33" s="11"/>
      <c r="P33" s="11"/>
      <c r="Q33" s="11"/>
      <c r="R33" s="11"/>
      <c r="S33" s="11"/>
      <c r="T33" s="11"/>
      <c r="U33" s="11"/>
      <c r="V33" s="11"/>
      <c r="W33" s="11"/>
      <c r="X33" s="11"/>
      <c r="Y33" s="14"/>
    </row>
    <row r="34" spans="1:25" x14ac:dyDescent="0.25">
      <c r="A34" s="15"/>
      <c r="B34" s="11"/>
      <c r="C34" s="11"/>
      <c r="D34" s="11"/>
      <c r="E34" s="11"/>
      <c r="F34" s="11"/>
      <c r="G34" s="11"/>
      <c r="H34" s="11"/>
      <c r="I34" s="11"/>
      <c r="J34" s="11"/>
      <c r="K34" s="11"/>
      <c r="L34" s="11"/>
      <c r="M34" s="11"/>
      <c r="N34" s="11"/>
      <c r="O34" s="11"/>
      <c r="P34" s="11"/>
      <c r="Q34" s="11"/>
      <c r="R34" s="11"/>
      <c r="S34" s="11"/>
      <c r="T34" s="11"/>
      <c r="U34" s="11"/>
      <c r="V34" s="11"/>
      <c r="W34" s="11"/>
      <c r="X34" s="11"/>
      <c r="Y34" s="14"/>
    </row>
    <row r="35" spans="1:25" x14ac:dyDescent="0.25">
      <c r="A35" s="15"/>
      <c r="B35" s="11"/>
      <c r="C35" s="11"/>
      <c r="D35" s="11"/>
      <c r="E35" s="11"/>
      <c r="F35" s="11"/>
      <c r="G35" s="11"/>
      <c r="H35" s="11"/>
      <c r="I35" s="11"/>
      <c r="J35" s="11"/>
      <c r="K35" s="11"/>
      <c r="L35" s="11"/>
      <c r="M35" s="11"/>
      <c r="N35" s="11"/>
      <c r="O35" s="11"/>
      <c r="P35" s="11"/>
      <c r="Q35" s="11"/>
      <c r="R35" s="11"/>
      <c r="S35" s="11"/>
      <c r="T35" s="11"/>
      <c r="U35" s="11"/>
      <c r="V35" s="11"/>
      <c r="W35" s="11"/>
      <c r="X35" s="11"/>
      <c r="Y35" s="14"/>
    </row>
    <row r="36" spans="1:25" x14ac:dyDescent="0.25">
      <c r="A36" s="15"/>
      <c r="B36" s="11"/>
      <c r="C36" s="11"/>
      <c r="D36" s="11"/>
      <c r="E36" s="11"/>
      <c r="F36" s="11"/>
      <c r="G36" s="11"/>
      <c r="H36" s="11"/>
      <c r="I36" s="11"/>
      <c r="J36" s="11"/>
      <c r="K36" s="11"/>
      <c r="L36" s="11"/>
      <c r="M36" s="11"/>
      <c r="N36" s="11"/>
      <c r="O36" s="11"/>
      <c r="P36" s="11"/>
      <c r="Q36" s="11"/>
      <c r="R36" s="11"/>
      <c r="S36" s="11"/>
      <c r="T36" s="11"/>
      <c r="U36" s="11"/>
      <c r="V36" s="11"/>
      <c r="W36" s="11"/>
      <c r="X36" s="11"/>
      <c r="Y36" s="14"/>
    </row>
    <row r="37" spans="1:25" x14ac:dyDescent="0.25">
      <c r="A37" s="15"/>
      <c r="B37" s="11"/>
      <c r="C37" s="11"/>
      <c r="D37" s="11"/>
      <c r="E37" s="11"/>
      <c r="F37" s="11"/>
      <c r="G37" s="11"/>
      <c r="H37" s="11"/>
      <c r="I37" s="11"/>
      <c r="J37" s="11"/>
      <c r="K37" s="11"/>
      <c r="L37" s="11"/>
      <c r="M37" s="11"/>
      <c r="N37" s="11"/>
      <c r="O37" s="11"/>
      <c r="P37" s="11"/>
      <c r="Q37" s="11"/>
      <c r="R37" s="11"/>
      <c r="S37" s="11"/>
      <c r="T37" s="11"/>
      <c r="U37" s="11"/>
      <c r="V37" s="11"/>
      <c r="W37" s="11"/>
      <c r="X37" s="11"/>
      <c r="Y37" s="14"/>
    </row>
    <row r="38" spans="1:25" x14ac:dyDescent="0.25">
      <c r="A38" s="15"/>
      <c r="B38" s="11"/>
      <c r="C38" s="11"/>
      <c r="D38" s="11"/>
      <c r="E38" s="11"/>
      <c r="F38" s="11"/>
      <c r="G38" s="11"/>
      <c r="H38" s="11"/>
      <c r="I38" s="11"/>
      <c r="J38" s="11"/>
      <c r="K38" s="11"/>
      <c r="L38" s="11"/>
      <c r="M38" s="11"/>
      <c r="N38" s="11"/>
      <c r="O38" s="11"/>
      <c r="P38" s="11"/>
      <c r="Q38" s="11"/>
      <c r="R38" s="11"/>
      <c r="S38" s="11"/>
      <c r="T38" s="11"/>
      <c r="U38" s="11"/>
      <c r="V38" s="11"/>
      <c r="W38" s="11"/>
      <c r="X38" s="11"/>
      <c r="Y38" s="14"/>
    </row>
    <row r="39" spans="1:25" x14ac:dyDescent="0.25">
      <c r="A39" s="15"/>
      <c r="B39" s="11"/>
      <c r="C39" s="11"/>
      <c r="D39" s="11"/>
      <c r="E39" s="11"/>
      <c r="F39" s="11"/>
      <c r="G39" s="11"/>
      <c r="H39" s="11"/>
      <c r="I39" s="11"/>
      <c r="J39" s="11"/>
      <c r="K39" s="11"/>
      <c r="L39" s="11"/>
      <c r="M39" s="11"/>
      <c r="N39" s="11"/>
      <c r="O39" s="11"/>
      <c r="P39" s="11"/>
      <c r="Q39" s="11"/>
      <c r="R39" s="11"/>
      <c r="S39" s="11"/>
      <c r="T39" s="11"/>
      <c r="U39" s="11"/>
      <c r="V39" s="11"/>
      <c r="W39" s="11"/>
      <c r="X39" s="11"/>
      <c r="Y39" s="14"/>
    </row>
    <row r="40" spans="1:25" x14ac:dyDescent="0.25">
      <c r="A40" s="15"/>
      <c r="B40" s="11"/>
      <c r="C40" s="11"/>
      <c r="D40" s="11"/>
      <c r="E40" s="11"/>
      <c r="F40" s="11"/>
      <c r="G40" s="11"/>
      <c r="H40" s="11"/>
      <c r="I40" s="11"/>
      <c r="J40" s="11"/>
      <c r="K40" s="11"/>
      <c r="L40" s="11"/>
      <c r="M40" s="11"/>
      <c r="N40" s="11"/>
      <c r="O40" s="11"/>
      <c r="P40" s="11"/>
      <c r="Q40" s="11"/>
      <c r="R40" s="11"/>
      <c r="S40" s="11"/>
      <c r="T40" s="11"/>
      <c r="U40" s="11"/>
      <c r="V40" s="11"/>
      <c r="W40" s="11"/>
      <c r="X40" s="11"/>
      <c r="Y40" s="14"/>
    </row>
    <row r="41" spans="1:25" x14ac:dyDescent="0.25">
      <c r="A41" s="15"/>
      <c r="B41" s="11"/>
      <c r="C41" s="11"/>
      <c r="D41" s="11"/>
      <c r="E41" s="11"/>
      <c r="F41" s="11"/>
      <c r="G41" s="11"/>
      <c r="H41" s="11"/>
      <c r="I41" s="11"/>
      <c r="J41" s="11"/>
      <c r="K41" s="11"/>
      <c r="L41" s="11"/>
      <c r="M41" s="11"/>
      <c r="N41" s="11"/>
      <c r="O41" s="11"/>
      <c r="P41" s="11"/>
      <c r="Q41" s="11"/>
      <c r="R41" s="11"/>
      <c r="S41" s="11"/>
      <c r="T41" s="11"/>
      <c r="U41" s="11"/>
      <c r="V41" s="11"/>
      <c r="W41" s="11"/>
      <c r="X41" s="11"/>
      <c r="Y41" s="14"/>
    </row>
    <row r="42" spans="1:25" x14ac:dyDescent="0.25">
      <c r="A42" s="15"/>
      <c r="B42" s="11"/>
      <c r="C42" s="11"/>
      <c r="D42" s="11"/>
      <c r="E42" s="11"/>
      <c r="F42" s="11"/>
      <c r="G42" s="11"/>
      <c r="H42" s="11"/>
      <c r="I42" s="11"/>
      <c r="J42" s="11"/>
      <c r="K42" s="11"/>
      <c r="L42" s="11"/>
      <c r="M42" s="11"/>
      <c r="N42" s="11"/>
      <c r="O42" s="11"/>
      <c r="P42" s="11"/>
      <c r="Q42" s="11"/>
      <c r="R42" s="11"/>
      <c r="S42" s="11"/>
      <c r="T42" s="11"/>
      <c r="U42" s="11"/>
      <c r="V42" s="11"/>
      <c r="W42" s="11"/>
      <c r="X42" s="11"/>
      <c r="Y42" s="14"/>
    </row>
    <row r="43" spans="1:25" x14ac:dyDescent="0.25">
      <c r="A43" s="15"/>
      <c r="B43" s="11"/>
      <c r="C43" s="11"/>
      <c r="D43" s="11"/>
      <c r="E43" s="11"/>
      <c r="F43" s="11"/>
      <c r="G43" s="11"/>
      <c r="H43" s="11"/>
      <c r="I43" s="11"/>
      <c r="J43" s="11"/>
      <c r="K43" s="11"/>
      <c r="L43" s="11"/>
      <c r="M43" s="11"/>
      <c r="N43" s="11"/>
      <c r="O43" s="11"/>
      <c r="P43" s="11"/>
      <c r="Q43" s="11"/>
      <c r="R43" s="11"/>
      <c r="S43" s="11"/>
      <c r="T43" s="11"/>
      <c r="U43" s="11"/>
      <c r="V43" s="11"/>
      <c r="W43" s="11"/>
      <c r="X43" s="11"/>
      <c r="Y43" s="14"/>
    </row>
    <row r="44" spans="1:25" x14ac:dyDescent="0.25">
      <c r="A44" s="16"/>
      <c r="B44" s="17"/>
      <c r="C44" s="17"/>
      <c r="D44" s="17"/>
      <c r="E44" s="17"/>
      <c r="F44" s="17"/>
      <c r="G44" s="17"/>
      <c r="H44" s="17"/>
      <c r="I44" s="17"/>
      <c r="J44" s="17"/>
      <c r="K44" s="17"/>
      <c r="L44" s="17"/>
      <c r="M44" s="17"/>
      <c r="N44" s="17"/>
      <c r="O44" s="17"/>
      <c r="P44" s="17"/>
      <c r="Q44" s="17"/>
      <c r="R44" s="17"/>
      <c r="S44" s="17"/>
      <c r="T44" s="17"/>
      <c r="U44" s="17"/>
      <c r="V44" s="17"/>
      <c r="W44" s="17"/>
      <c r="X44" s="17"/>
      <c r="Y44" s="18"/>
    </row>
    <row r="64" spans="8:8" x14ac:dyDescent="0.25">
      <c r="H64" s="10"/>
    </row>
  </sheetData>
  <mergeCells count="1">
    <mergeCell ref="A1:H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topLeftCell="A2" workbookViewId="0">
      <selection activeCell="A3" sqref="A3"/>
    </sheetView>
  </sheetViews>
  <sheetFormatPr defaultRowHeight="15" x14ac:dyDescent="0.25"/>
  <cols>
    <col min="1" max="1" width="64" customWidth="1"/>
  </cols>
  <sheetData>
    <row r="1" spans="1:1" ht="18.75" x14ac:dyDescent="0.3">
      <c r="A1" s="8" t="s">
        <v>32</v>
      </c>
    </row>
    <row r="3" spans="1:1" x14ac:dyDescent="0.25">
      <c r="A3" t="s">
        <v>33</v>
      </c>
    </row>
    <row r="5" spans="1:1" x14ac:dyDescent="0.25">
      <c r="A5" t="s">
        <v>34</v>
      </c>
    </row>
    <row r="7" spans="1:1" x14ac:dyDescent="0.25">
      <c r="A7" t="s">
        <v>35</v>
      </c>
    </row>
    <row r="9" spans="1:1" x14ac:dyDescent="0.25">
      <c r="A9" t="s">
        <v>36</v>
      </c>
    </row>
    <row r="11" spans="1:1" x14ac:dyDescent="0.25">
      <c r="A11" t="s">
        <v>37</v>
      </c>
    </row>
    <row r="13" spans="1:1" x14ac:dyDescent="0.25">
      <c r="A13" t="s">
        <v>38</v>
      </c>
    </row>
    <row r="15" spans="1:1" x14ac:dyDescent="0.25">
      <c r="A15" t="s">
        <v>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Clean Data</vt:lpstr>
      <vt:lpstr>Pivot Tables</vt:lpstr>
      <vt:lpstr>Dashboard</vt:lpstr>
      <vt:lpstr>Summary</vt:lpstr>
      <vt:lpstr>Date</vt:lpstr>
      <vt:lpstr>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2026-07-27T03:06:59Z</dcterms:created>
  <dcterms:modified xsi:type="dcterms:W3CDTF">2026-08-10T08:11:26Z</dcterms:modified>
</cp:coreProperties>
</file>